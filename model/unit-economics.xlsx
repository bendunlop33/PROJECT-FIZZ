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 me" sheetId="1" state="visible" r:id="rId1"/>
    <sheet name="01 Inputs" sheetId="2" state="visible" r:id="rId2"/>
    <sheet name="02 Competitor ladder" sheetId="3" state="visible" r:id="rId3"/>
    <sheet name="03 Unit economics" sheetId="4" state="visible" r:id="rId4"/>
    <sheet name="04 Subscription economics" sheetId="5" state="visible" r:id="rId5"/>
    <sheet name="05 Channel consistency" sheetId="6" state="visible" r:id="rId6"/>
    <sheet name="06 Scenarios &amp; sensitivity" sheetId="7" state="visible" r:id="rId7"/>
    <sheet name="07 Price architectures" sheetId="8" state="visible" r:id="rId8"/>
  </sheets>
  <definedNames>
    <definedName name="_xlnm._FilterDatabase" localSheetId="2" hidden="1">'02 Competitor ladder'!$A$6:$O$58</definedName>
  </definedNames>
  <calcPr calcId="124519" fullCalcOnLoad="1"/>
</workbook>
</file>

<file path=xl/styles.xml><?xml version="1.0" encoding="utf-8"?>
<styleSheet xmlns="http://schemas.openxmlformats.org/spreadsheetml/2006/main">
  <numFmts count="7">
    <numFmt numFmtId="164" formatCode="0.0"/>
    <numFmt numFmtId="165" formatCode="&quot;£&quot;#,##0.0000"/>
    <numFmt numFmtId="166" formatCode="&quot;£&quot;#,##0.000"/>
    <numFmt numFmtId="167" formatCode="&quot;£&quot;#,##0.00"/>
    <numFmt numFmtId="168" formatCode="0.0%"/>
    <numFmt numFmtId="169" formatCode="0.00&quot;x&quot;"/>
    <numFmt numFmtId="170" formatCode="0.0&quot;x&quot;"/>
  </numFmts>
  <fonts count="14">
    <font>
      <name val="Calibri"/>
      <family val="2"/>
      <color theme="1"/>
      <sz val="11"/>
      <scheme val="minor"/>
    </font>
    <font>
      <b val="1"/>
      <color rgb="001F3864"/>
      <sz val="14"/>
    </font>
    <font>
      <i val="1"/>
      <color rgb="00808080"/>
    </font>
    <font>
      <b val="1"/>
    </font>
    <font>
      <b val="1"/>
      <color rgb="000000CC"/>
    </font>
    <font>
      <b val="1"/>
      <color rgb="00FFFFFF"/>
    </font>
    <font>
      <b val="1"/>
      <color rgb="00666666"/>
    </font>
    <font>
      <color rgb="000000CC"/>
    </font>
    <font>
      <b val="1"/>
      <color rgb="001F6F1F"/>
    </font>
    <font>
      <b val="1"/>
      <color rgb="00C00000"/>
    </font>
    <font>
      <b val="1"/>
      <color rgb="00BF6000"/>
    </font>
    <font>
      <i val="1"/>
    </font>
    <font>
      <b val="1"/>
      <i val="1"/>
    </font>
    <font>
      <sz val="9"/>
    </font>
  </fonts>
  <fills count="6">
    <fill>
      <patternFill/>
    </fill>
    <fill>
      <patternFill patternType="gray125"/>
    </fill>
    <fill>
      <patternFill patternType="solid">
        <fgColor rgb="00FFF2CC"/>
      </patternFill>
    </fill>
    <fill>
      <patternFill patternType="solid">
        <fgColor rgb="001F3864"/>
      </patternFill>
    </fill>
    <fill>
      <patternFill patternType="solid">
        <fgColor rgb="00D9E2F3"/>
      </patternFill>
    </fill>
    <fill>
      <patternFill patternType="solid">
        <fgColor rgb="00E2EFDA"/>
      </patternFill>
    </fill>
  </fills>
  <borders count="2">
    <border>
      <left/>
      <right/>
      <top/>
      <bottom/>
      <diagonal/>
    </border>
    <border>
      <bottom style="thin">
        <color rgb="00AAAAAA"/>
      </bottom>
    </border>
  </borders>
  <cellStyleXfs count="1">
    <xf numFmtId="0" fontId="0" fillId="0" borderId="0"/>
  </cellStyleXfs>
  <cellXfs count="8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0" fillId="0" borderId="1" pivotButton="0" quotePrefix="0" xfId="0"/>
    <xf numFmtId="0" fontId="5" fillId="3" borderId="1" applyAlignment="1" pivotButton="0" quotePrefix="0" xfId="0">
      <alignment vertical="top" wrapText="1"/>
    </xf>
    <xf numFmtId="0" fontId="0" fillId="4" borderId="1" pivotButton="0" quotePrefix="0" xfId="0"/>
    <xf numFmtId="0" fontId="3" fillId="4" borderId="1" pivotButton="0" quotePrefix="0" xfId="0"/>
    <xf numFmtId="0" fontId="6" fillId="0" borderId="1" pivotButton="0" quotePrefix="0" xfId="0"/>
    <xf numFmtId="0" fontId="0" fillId="0" borderId="1" applyAlignment="1" pivotButton="0" quotePrefix="0" xfId="0">
      <alignment vertical="top" wrapText="1"/>
    </xf>
    <xf numFmtId="9" fontId="7" fillId="0" borderId="1" pivotButton="0" quotePrefix="0" xfId="0"/>
    <xf numFmtId="9" fontId="3" fillId="0" borderId="1" pivotButton="0" quotePrefix="0" xfId="0"/>
    <xf numFmtId="0" fontId="8" fillId="0" borderId="1" pivotButton="0" quotePrefix="0" xfId="0"/>
    <xf numFmtId="2" fontId="7" fillId="0" borderId="1" pivotButton="0" quotePrefix="0" xfId="0"/>
    <xf numFmtId="2" fontId="3" fillId="0" borderId="1" pivotButton="0" quotePrefix="0" xfId="0"/>
    <xf numFmtId="0" fontId="9" fillId="0" borderId="1" pivotButton="0" quotePrefix="0" xfId="0"/>
    <xf numFmtId="164" fontId="3" fillId="0" borderId="1" pivotButton="0" quotePrefix="0" xfId="0"/>
    <xf numFmtId="0" fontId="7" fillId="0" borderId="1" pivotButton="0" quotePrefix="0" xfId="0"/>
    <xf numFmtId="0" fontId="3" fillId="0" borderId="1" pivotButton="0" quotePrefix="0" xfId="0"/>
    <xf numFmtId="0" fontId="10" fillId="0" borderId="1" pivotButton="0" quotePrefix="0" xfId="0"/>
    <xf numFmtId="165" fontId="7" fillId="0" borderId="1" pivotButton="0" quotePrefix="0" xfId="0"/>
    <xf numFmtId="165" fontId="3" fillId="0" borderId="1" pivotButton="0" quotePrefix="0" xfId="0"/>
    <xf numFmtId="166" fontId="7" fillId="0" borderId="1" pivotButton="0" quotePrefix="0" xfId="0"/>
    <xf numFmtId="166" fontId="3" fillId="0" borderId="1" pivotButton="0" quotePrefix="0" xfId="0"/>
    <xf numFmtId="167" fontId="7" fillId="0" borderId="1" pivotButton="0" quotePrefix="0" xfId="0"/>
    <xf numFmtId="167" fontId="3" fillId="0" borderId="1" pivotButton="0" quotePrefix="0" xfId="0"/>
    <xf numFmtId="164" fontId="7" fillId="0" borderId="1" pivotButton="0" quotePrefix="0" xfId="0"/>
    <xf numFmtId="168" fontId="7" fillId="0" borderId="1" pivotButton="0" quotePrefix="0" xfId="0"/>
    <xf numFmtId="168" fontId="3" fillId="0" borderId="1" pivotButton="0" quotePrefix="0" xfId="0"/>
    <xf numFmtId="3" fontId="7" fillId="0" borderId="1" pivotButton="0" quotePrefix="0" xfId="0"/>
    <xf numFmtId="3" fontId="3" fillId="0" borderId="1" pivotButton="0" quotePrefix="0" xfId="0"/>
    <xf numFmtId="0" fontId="11" fillId="0" borderId="0" applyAlignment="1" pivotButton="0" quotePrefix="0" xfId="0">
      <alignment vertical="top" wrapText="1"/>
    </xf>
    <xf numFmtId="0" fontId="5" fillId="3" borderId="0" applyAlignment="1" pivotButton="0" quotePrefix="0" xfId="0">
      <alignment vertical="top" wrapText="1"/>
    </xf>
    <xf numFmtId="0" fontId="5" fillId="0" borderId="0" applyAlignment="1" pivotButton="0" quotePrefix="0" xfId="0">
      <alignment vertical="top" wrapText="1"/>
    </xf>
    <xf numFmtId="0" fontId="9" fillId="0" borderId="0" pivotButton="0" quotePrefix="0" xfId="0"/>
    <xf numFmtId="1" fontId="7" fillId="0" borderId="0" pivotButton="0" quotePrefix="0" xfId="0"/>
    <xf numFmtId="167" fontId="7" fillId="0" borderId="0" pivotButton="0" quotePrefix="0" xfId="0"/>
    <xf numFmtId="166" fontId="0" fillId="0" borderId="0" pivotButton="0" quotePrefix="0" xfId="0"/>
    <xf numFmtId="1" fontId="0" fillId="0" borderId="0" pivotButton="0" quotePrefix="0" xfId="0"/>
    <xf numFmtId="2" fontId="0" fillId="0" borderId="0" pivotButton="0" quotePrefix="0" xfId="0"/>
    <xf numFmtId="169" fontId="0" fillId="0" borderId="0" pivotButton="0" quotePrefix="0" xfId="0"/>
    <xf numFmtId="1" fontId="2" fillId="0" borderId="0" pivotButton="0" quotePrefix="0" xfId="0"/>
    <xf numFmtId="167" fontId="0" fillId="0" borderId="0" pivotButton="0" quotePrefix="0" xfId="0"/>
    <xf numFmtId="167" fontId="2" fillId="0" borderId="0" pivotButton="0" quotePrefix="0" xfId="0"/>
    <xf numFmtId="2" fontId="2" fillId="0" borderId="0" pivotButton="0" quotePrefix="0" xfId="0"/>
    <xf numFmtId="0" fontId="3" fillId="0" borderId="0" applyAlignment="1" pivotButton="0" quotePrefix="0" xfId="0">
      <alignment vertical="top" wrapText="1"/>
    </xf>
    <xf numFmtId="167" fontId="3" fillId="0" borderId="0" pivotButton="0" quotePrefix="0" xfId="0"/>
    <xf numFmtId="167" fontId="3" fillId="5" borderId="0" pivotButton="0" quotePrefix="0" xfId="0"/>
    <xf numFmtId="167" fontId="2" fillId="5" borderId="0" pivotButton="0" quotePrefix="0" xfId="0"/>
    <xf numFmtId="168" fontId="3" fillId="5" borderId="0" pivotButton="0" quotePrefix="0" xfId="0"/>
    <xf numFmtId="168" fontId="2" fillId="5" borderId="0" pivotButton="0" quotePrefix="0" xfId="0"/>
    <xf numFmtId="164" fontId="0" fillId="0" borderId="0" pivotButton="0" quotePrefix="0" xfId="0"/>
    <xf numFmtId="164" fontId="2" fillId="0" borderId="0" pivotButton="0" quotePrefix="0" xfId="0"/>
    <xf numFmtId="166" fontId="2" fillId="0" borderId="0" pivotButton="0" quotePrefix="0" xfId="0"/>
    <xf numFmtId="166" fontId="3" fillId="5" borderId="0" pivotButton="0" quotePrefix="0" xfId="0"/>
    <xf numFmtId="166" fontId="2" fillId="5" borderId="0" pivotButton="0" quotePrefix="0" xfId="0"/>
    <xf numFmtId="166" fontId="3" fillId="0" borderId="0" pivotButton="0" quotePrefix="0" xfId="0"/>
    <xf numFmtId="0" fontId="3" fillId="4" borderId="0" pivotButton="0" quotePrefix="0" xfId="0"/>
    <xf numFmtId="0" fontId="5" fillId="3" borderId="0" pivotButton="0" quotePrefix="0" xfId="0"/>
    <xf numFmtId="165" fontId="3" fillId="0" borderId="0" pivotButton="0" quotePrefix="0" xfId="0"/>
    <xf numFmtId="168" fontId="3" fillId="0" borderId="0" pivotButton="0" quotePrefix="0" xfId="0"/>
    <xf numFmtId="3" fontId="3" fillId="0" borderId="0" pivotButton="0" quotePrefix="0" xfId="0"/>
    <xf numFmtId="0" fontId="12" fillId="0" borderId="0" applyAlignment="1" pivotButton="0" quotePrefix="0" xfId="0">
      <alignment vertical="top" wrapText="1"/>
    </xf>
    <xf numFmtId="2" fontId="3" fillId="0" borderId="0" pivotButton="0" quotePrefix="0" xfId="0"/>
    <xf numFmtId="168" fontId="0" fillId="0" borderId="0" pivotButton="0" quotePrefix="0" xfId="0"/>
    <xf numFmtId="0" fontId="2" fillId="0" borderId="0" pivotButton="0" quotePrefix="0" xfId="0"/>
    <xf numFmtId="169" fontId="3" fillId="0" borderId="0" pivotButton="0" quotePrefix="0" xfId="0"/>
    <xf numFmtId="164" fontId="3" fillId="0" borderId="0" pivotButton="0" quotePrefix="0" xfId="0"/>
    <xf numFmtId="169" fontId="3" fillId="5" borderId="0" pivotButton="0" quotePrefix="0" xfId="0"/>
    <xf numFmtId="9" fontId="3" fillId="0" borderId="0" pivotButton="0" quotePrefix="0" xfId="0"/>
    <xf numFmtId="164" fontId="3" fillId="5" borderId="0" pivotButton="0" quotePrefix="0" xfId="0"/>
    <xf numFmtId="0" fontId="3" fillId="2" borderId="0" pivotButton="0" quotePrefix="0" xfId="0"/>
    <xf numFmtId="165" fontId="7" fillId="0" borderId="0" pivotButton="0" quotePrefix="0" xfId="0"/>
    <xf numFmtId="165" fontId="3" fillId="5" borderId="0" pivotButton="0" quotePrefix="0" xfId="0"/>
    <xf numFmtId="168" fontId="7" fillId="0" borderId="0" pivotButton="0" quotePrefix="0" xfId="0"/>
    <xf numFmtId="164" fontId="7" fillId="0" borderId="0" pivotButton="0" quotePrefix="0" xfId="0"/>
    <xf numFmtId="167" fontId="5" fillId="3" borderId="0" pivotButton="0" quotePrefix="0" xfId="0"/>
    <xf numFmtId="168" fontId="4" fillId="0" borderId="0" pivotButton="0" quotePrefix="0" xfId="0"/>
    <xf numFmtId="9" fontId="0" fillId="0" borderId="0" pivotButton="0" quotePrefix="0" xfId="0"/>
    <xf numFmtId="170" fontId="0" fillId="0" borderId="0" pivotButton="0" quotePrefix="0" xfId="0"/>
    <xf numFmtId="0" fontId="13" fillId="0" borderId="0" applyAlignment="1" pivotButton="0" quotePrefix="0" xfId="0">
      <alignment vertical="top" wrapText="1"/>
    </xf>
    <xf numFmtId="9"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3" customWidth="1" min="1" max="1"/>
    <col width="120" customWidth="1" min="2" max="2"/>
  </cols>
  <sheetData>
    <row r="1">
      <c r="A1" s="1" t="inlineStr">
        <is>
          <t>Project V-Drop — D2C unit economics, subscription economics and price architecture</t>
        </is>
      </c>
    </row>
    <row r="2">
      <c r="A2" s="2" t="inlineStr">
        <is>
          <t>Built by pricing-economist, 2026-09-22. British English, £ sterling. All prices UK.</t>
        </is>
      </c>
    </row>
    <row r="4" ht="15" customHeight="1">
      <c r="A4" s="3" t="inlineStr"/>
      <c r="B4" s="4" t="inlineStr"/>
    </row>
    <row r="5" ht="28" customHeight="1">
      <c r="A5" s="3" t="inlineStr">
        <is>
          <t>STATUS</t>
        </is>
      </c>
      <c r="B5" s="4" t="inlineStr">
        <is>
          <t>ILLUSTRATIVE. No manufacturer quote exists for any COGS line in this model. Every COGS figure is an ESTIMATE or an ASSUMPTION with a low/base/high range. Do not quote a margin from this workbook as a fact.</t>
        </is>
      </c>
    </row>
    <row r="6" ht="15" customHeight="1">
      <c r="A6" s="3" t="inlineStr"/>
      <c r="B6" s="4" t="inlineStr"/>
    </row>
    <row r="7" ht="15" customHeight="1">
      <c r="A7" s="3" t="inlineStr">
        <is>
          <t>WHAT THIS MODELS</t>
        </is>
      </c>
      <c r="B7" s="4" t="inlineStr">
        <is>
          <t>The current concept per notes/decisions.md (2026-09-22), NOT docs/master-brief.md:</t>
        </is>
      </c>
    </row>
    <row r="8" ht="15" customHeight="1">
      <c r="A8" s="3" t="inlineStr"/>
      <c r="B8" s="4" t="inlineStr">
        <is>
          <t>1. D2C only. No retail, no retailer margin, no cannibalisation problem. CAC is the entire growth model.</t>
        </is>
      </c>
    </row>
    <row r="9" ht="42" customHeight="1">
      <c r="A9" s="3" t="inlineStr"/>
      <c r="B9" s="4" t="inlineStr">
        <is>
          <t>2. A single 'super morning drink' — one effervescent tablet daily: a tasty drink, a full essential daily multivitamin load, plus caffeine and L-theanine. Multivitamin sense of 'everything you need', not an AG1-style greens stack.</t>
        </is>
      </c>
    </row>
    <row r="10" ht="15" customHeight="1">
      <c r="A10" s="3" t="inlineStr"/>
      <c r="B10" s="4" t="inlineStr">
        <is>
          <t>3. Three products maximum.</t>
        </is>
      </c>
    </row>
    <row r="11" ht="28" customHeight="1">
      <c r="A11" s="3" t="inlineStr"/>
      <c r="B11" s="4" t="inlineStr">
        <is>
          <t>4. The differentiator is taste and ease of use — explicitly not potency, not claims, not ingredients. Taste is therefore costed as a COGS line, not a rounding error (see Inputs I-23).</t>
        </is>
      </c>
    </row>
    <row r="12" ht="42" customHeight="1">
      <c r="A12" s="3" t="inlineStr"/>
      <c r="B12" s="4" t="inlineStr">
        <is>
          <t>5. Formulation excludes cordyceps (A-041 stop-sale), Alpha-GPC (A-010 unauthorised), lion's mane 20:1 (A-042 probably novel) and zinc bisglycinate (A-043 source form unconfirmed). Vitamins and minerals in permitted source forms only.</t>
        </is>
      </c>
    </row>
    <row r="13" ht="15" customHeight="1">
      <c r="A13" s="3" t="inlineStr"/>
      <c r="B13" s="4" t="inlineStr"/>
    </row>
    <row r="14" ht="28" customHeight="1">
      <c r="A14" s="3" t="inlineStr">
        <is>
          <t>NON-NEGOTIABLES APPLIED</t>
        </is>
      </c>
      <c r="B14" s="4" t="inlineStr">
        <is>
          <t>VAT (A-007): every UK consumer price includes 20% VAT. Net price = RRP / 1.2. No margin in this workbook is computed on a VAT-inclusive price. £29.99 = £24.99 net; £19.99 = £16.66 net.</t>
        </is>
      </c>
    </row>
    <row r="15" ht="28" customHeight="1">
      <c r="A15" s="3" t="inlineStr"/>
      <c r="B15" s="4" t="inlineStr">
        <is>
          <t>Both margins shown: GROSS MARGIN = net revenue minus COGS. CONTRIBUTION = gross margin minus fulfilment, postage, payment fees, breakage and returns (and retailer/distributor margin where relevant).</t>
        </is>
      </c>
    </row>
    <row r="16" ht="28" customHeight="1">
      <c r="A16" s="3" t="inlineStr"/>
      <c r="B16" s="4" t="inlineStr">
        <is>
          <t>Payment fees are charged on the amount actually billed (VAT-inclusive), not on net revenue. Modelled that way.</t>
        </is>
      </c>
    </row>
    <row r="17" ht="15" customHeight="1">
      <c r="A17" s="3" t="inlineStr"/>
      <c r="B17" s="4" t="inlineStr"/>
    </row>
    <row r="18" ht="15" customHeight="1">
      <c r="A18" s="3" t="inlineStr">
        <is>
          <t>CONTROLS (Inputs sheet, cells B3:B5)</t>
        </is>
      </c>
      <c r="B18" s="4" t="inlineStr">
        <is>
          <t>B3 Scenario switch: 1 = Downside, 2 = Base, 3 = Upside. Drives the 'Selected' column and sheet 03.</t>
        </is>
      </c>
    </row>
    <row r="19" ht="28" customHeight="1">
      <c r="A19" s="3" t="inlineStr"/>
      <c r="B19" s="4" t="inlineStr">
        <is>
          <t>B4 Tablet format switch: 1 = 3.5 g tablet, 2 = 4.5 g tablet. Drives tablet mass, tablet COGS and shipped weight (A-019 / A-032 / decision of 2026-09-22 that the payload race is off).</t>
        </is>
      </c>
    </row>
    <row r="20" ht="28" customHeight="1">
      <c r="A20" s="3" t="inlineStr"/>
      <c r="B20" s="4" t="inlineStr">
        <is>
          <t>B5 Case included in the headline starter kit: 1 = yes, 0 = no. Sheet 03 shows both variants side by side regardless (A-025).</t>
        </is>
      </c>
    </row>
    <row r="21" ht="15" customHeight="1">
      <c r="A21" s="3" t="inlineStr"/>
      <c r="B21" s="4" t="inlineStr"/>
    </row>
    <row r="22" ht="15" customHeight="1">
      <c r="A22" s="3" t="inlineStr">
        <is>
          <t>COLOUR CONVENTION</t>
        </is>
      </c>
      <c r="B22" s="4" t="inlineStr">
        <is>
          <t>Blue font = an input you may change. Black = a formula. Do not overwrite a black cell.</t>
        </is>
      </c>
    </row>
    <row r="23" ht="15" customHeight="1">
      <c r="A23" s="3" t="inlineStr"/>
      <c r="B23" s="4" t="inlineStr"/>
    </row>
    <row r="24" ht="70" customHeight="1">
      <c r="A24" s="3" t="inlineStr">
        <is>
          <t>SOURCING HEALTH WARNING</t>
        </is>
      </c>
      <c r="B24" s="4" t="inlineStr">
        <is>
          <t>This session's egress policy refuses CONNECT to retailer and brand domains (403 at the proxy); three previous runs confirmed it is environment policy. Every competitor price in sheet 02 is inherited from a search-engine summary, not a direct read of the page. Treat the competitor ladder as MEDIUM confidence at best. Royal Mail tariffs in Inputs I-41..I-45 were re-checked this session via search summaries only and CONTRADICT the figures previously recorded in A-006 — see the note on those rows.</t>
        </is>
      </c>
    </row>
    <row r="25" ht="15" customHeight="1">
      <c r="A25" s="3" t="inlineStr"/>
      <c r="B25" s="4" t="inlineStr"/>
    </row>
    <row r="26" ht="28" customHeight="1">
      <c r="A26" s="3" t="inlineStr">
        <is>
          <t>SHEETS</t>
        </is>
      </c>
      <c r="B26" s="4" t="inlineStr">
        <is>
          <t>01 Inputs · 02 Competitor ladder · 03 Unit economics · 04 Subscription economics · 05 Channel consistency · 06 Scenarios &amp; sensitivity · 07 Price architectures</t>
        </is>
      </c>
    </row>
    <row r="27" ht="15" customHeight="1">
      <c r="A27" s="3" t="inlineStr"/>
      <c r="B27" s="4" t="inlineStr"/>
    </row>
    <row r="28" ht="28" customHeight="1">
      <c r="A28" s="3" t="inlineStr">
        <is>
          <t>THE THREE THINGS THAT DECIDE THIS BUSINESS</t>
        </is>
      </c>
      <c r="B28" s="4" t="inlineStr">
        <is>
          <t>1. CAC (A-028). The brief contains no CAC line at all. Health &amp; wellness carries the highest median Meta CPM of any vertical. With no retail discovery route, CAC payback is the model.</t>
        </is>
      </c>
    </row>
    <row r="29" ht="15" customHeight="1">
      <c r="A29" s="3" t="inlineStr"/>
      <c r="B29" s="4" t="inlineStr">
        <is>
          <t>2. Churn (single-product supplement subscriptions run 8-15%/month). It compounds against CAC.</t>
        </is>
      </c>
    </row>
    <row r="30" ht="28" customHeight="1">
      <c r="A30" s="3" t="inlineStr"/>
      <c r="B30" s="4" t="inlineStr">
        <is>
          <t>3. Taste-led COGS. A taste-led strategy costed like a commodity one produces a false margin. I-23 is the line to argue about.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0"/>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8" customWidth="1" min="1" max="1"/>
    <col width="46" customWidth="1" min="2" max="2"/>
    <col width="13" customWidth="1" min="3" max="3"/>
    <col width="11" customWidth="1" min="4" max="4"/>
    <col width="11" customWidth="1" min="5" max="5"/>
    <col width="11" customWidth="1" min="6" max="6"/>
    <col width="12" customWidth="1" min="7" max="7"/>
    <col width="13" customWidth="1" min="8" max="8"/>
    <col width="62" customWidth="1" min="9" max="9"/>
    <col width="60" customWidth="1" min="10" max="10"/>
    <col width="12" customWidth="1" min="11" max="11"/>
    <col width="10" customWidth="1" min="12" max="12"/>
    <col width="12" customWidth="1" min="13" max="13"/>
  </cols>
  <sheetData>
    <row r="1">
      <c r="A1" s="1" t="inlineStr">
        <is>
          <t>01 INPUTS — every driver, with label, method and source</t>
        </is>
      </c>
    </row>
    <row r="2">
      <c r="A2" s="2" t="inlineStr">
        <is>
          <t>Blue = input. Low / Base / High are genuine ranges, not decoration. 'Selected' follows the scenario switch in B3.</t>
        </is>
      </c>
    </row>
    <row r="3">
      <c r="A3" s="3" t="inlineStr">
        <is>
          <t>CTRL</t>
        </is>
      </c>
      <c r="B3" s="3" t="inlineStr">
        <is>
          <t>SCENARIO SWITCH  (1 = Downside, 2 = Base, 3 = Upside)</t>
        </is>
      </c>
      <c r="C3" s="5" t="n">
        <v>2</v>
      </c>
    </row>
    <row r="4">
      <c r="B4" s="3" t="inlineStr">
        <is>
          <t>TABLET FORMAT SWITCH  (1 = 3.5 g tablet, 2 = 4.5 g tablet)</t>
        </is>
      </c>
      <c r="C4" s="5" t="n">
        <v>1</v>
      </c>
    </row>
    <row r="5">
      <c r="B5" s="3" t="inlineStr">
        <is>
          <t>CASE IN HEADLINE STARTER KIT  (1 = yes, 0 = no)</t>
        </is>
      </c>
      <c r="C5" s="5" t="n">
        <v>1</v>
      </c>
    </row>
    <row r="6">
      <c r="B6" s="3" t="inlineStr">
        <is>
          <t>ACTIVES GRADE  (1 = commodity USP source forms, 2 = branded / patented bioavailable forms)</t>
        </is>
      </c>
      <c r="C6" s="5" t="n">
        <v>1</v>
      </c>
    </row>
    <row r="7">
      <c r="B7" s="3" t="inlineStr">
        <is>
          <t>CAFFEINE  (1 = contains caffeine, 0 = caffeine-free)   &lt;&lt;  set to 0 by the decision of 2026-09-22</t>
        </is>
      </c>
      <c r="C7" s="5" t="n">
        <v>0</v>
      </c>
    </row>
    <row r="8">
      <c r="A8" s="6" t="n"/>
      <c r="B8" s="6" t="n"/>
      <c r="C8" s="6" t="n"/>
      <c r="D8" s="6" t="n"/>
      <c r="E8" s="6" t="n"/>
      <c r="F8" s="6" t="n"/>
      <c r="G8" s="6" t="n"/>
      <c r="H8" s="6" t="n"/>
      <c r="I8" s="6" t="n"/>
      <c r="J8" s="6" t="n"/>
      <c r="K8" s="6" t="n"/>
      <c r="L8" s="6" t="n"/>
      <c r="M8" s="6" t="n"/>
    </row>
    <row r="9" ht="32" customHeight="1">
      <c r="A9" s="7" t="inlineStr">
        <is>
          <t>Ref</t>
        </is>
      </c>
      <c r="B9" s="7" t="inlineStr">
        <is>
          <t>Input</t>
        </is>
      </c>
      <c r="C9" s="7" t="inlineStr">
        <is>
          <t>Unit</t>
        </is>
      </c>
      <c r="D9" s="7" t="inlineStr">
        <is>
          <t>Low</t>
        </is>
      </c>
      <c r="E9" s="7" t="inlineStr">
        <is>
          <t>Base</t>
        </is>
      </c>
      <c r="F9" s="7" t="inlineStr">
        <is>
          <t>High</t>
        </is>
      </c>
      <c r="G9" s="7" t="inlineStr">
        <is>
          <t>Selected</t>
        </is>
      </c>
      <c r="H9" s="7" t="inlineStr">
        <is>
          <t>Label</t>
        </is>
      </c>
      <c r="I9" s="7" t="inlineStr">
        <is>
          <t>Method / reasoning</t>
        </is>
      </c>
      <c r="J9" s="7" t="inlineStr">
        <is>
          <t>Source URL</t>
        </is>
      </c>
      <c r="K9" s="7" t="inlineStr">
        <is>
          <t>Checked</t>
        </is>
      </c>
      <c r="L9" s="7" t="inlineStr">
        <is>
          <t>Conf.</t>
        </is>
      </c>
      <c r="M9" s="7" t="inlineStr">
        <is>
          <t>Assumption</t>
        </is>
      </c>
    </row>
    <row r="10">
      <c r="A10" s="8" t="inlineStr"/>
      <c r="B10" s="9" t="inlineStr">
        <is>
          <t>A. TAX AND GENERAL</t>
        </is>
      </c>
      <c r="C10" s="8" t="n"/>
      <c r="D10" s="8" t="n"/>
      <c r="E10" s="8" t="n"/>
      <c r="F10" s="8" t="n"/>
      <c r="G10" s="8" t="n"/>
      <c r="H10" s="8" t="n"/>
      <c r="I10" s="8" t="n"/>
      <c r="J10" s="8" t="n"/>
      <c r="K10" s="8" t="n"/>
      <c r="L10" s="8" t="n"/>
      <c r="M10" s="8" t="n"/>
    </row>
    <row r="11" ht="39" customHeight="1">
      <c r="A11" s="10" t="inlineStr">
        <is>
          <t>VAT</t>
        </is>
      </c>
      <c r="B11" s="11" t="inlineStr">
        <is>
          <t>VAT rate on the product (standard-rated)</t>
        </is>
      </c>
      <c r="C11" s="6" t="inlineStr">
        <is>
          <t>%</t>
        </is>
      </c>
      <c r="D11" s="12" t="n">
        <v>0.2</v>
      </c>
      <c r="E11" s="12" t="n">
        <v>0.2</v>
      </c>
      <c r="F11" s="12" t="n">
        <v>0.2</v>
      </c>
      <c r="G11" s="13">
        <f>CHOOSE($C$3,D11,E11,F11)</f>
        <v/>
      </c>
      <c r="H11" s="14" t="inlineStr">
        <is>
          <t>FACT</t>
        </is>
      </c>
      <c r="I11" s="11" t="inlineStr">
        <is>
          <t>HMRC VAT Notice 701/14: vitamin and mineral supplements, and preparations for making beverages, are standard-rated. Net price = RRP / 1.2. Confirm with an accountant before filing.</t>
        </is>
      </c>
      <c r="J11" s="11" t="inlineStr">
        <is>
          <t>https://www.gov.uk/government/publications/vat-notice-70114-food</t>
        </is>
      </c>
      <c r="K11" s="6" t="inlineStr">
        <is>
          <t>2026-09-22</t>
        </is>
      </c>
      <c r="L11" s="6" t="inlineStr">
        <is>
          <t>high</t>
        </is>
      </c>
      <c r="M11" s="6" t="inlineStr">
        <is>
          <t>A-007</t>
        </is>
      </c>
    </row>
    <row r="12" ht="26" customHeight="1">
      <c r="A12" s="10" t="inlineStr">
        <is>
          <t>FX</t>
        </is>
      </c>
      <c r="B12" s="11" t="inlineStr">
        <is>
          <t>GBP per USD (for US-sourced ad benchmarks)</t>
        </is>
      </c>
      <c r="C12" s="6" t="inlineStr">
        <is>
          <t>GBP/USD</t>
        </is>
      </c>
      <c r="D12" s="15" t="n">
        <v>1.27</v>
      </c>
      <c r="E12" s="15" t="n">
        <v>1.27</v>
      </c>
      <c r="F12" s="15" t="n">
        <v>1.27</v>
      </c>
      <c r="G12" s="16">
        <f>CHOOSE($C$3,D12,E12,F12)</f>
        <v/>
      </c>
      <c r="H12" s="17" t="inlineStr">
        <is>
          <t>ASSUMPTION</t>
        </is>
      </c>
      <c r="I12" s="11" t="inlineStr">
        <is>
          <t>Working rate. Used only to translate the US-quoted Meta CPA benchmark into a sanity check; the CAC inputs below are set in £ directly.</t>
        </is>
      </c>
      <c r="J12" s="11" t="inlineStr"/>
      <c r="K12" s="6" t="inlineStr">
        <is>
          <t>2026-09-22</t>
        </is>
      </c>
      <c r="L12" s="6" t="inlineStr">
        <is>
          <t>low</t>
        </is>
      </c>
      <c r="M12" s="6" t="inlineStr"/>
    </row>
    <row r="13">
      <c r="A13" s="8" t="inlineStr"/>
      <c r="B13" s="9" t="inlineStr">
        <is>
          <t>B. PACK ARCHITECTURE AND USAGE  (A-014 — repaired by the daily-ritual decision)</t>
        </is>
      </c>
      <c r="C13" s="8" t="n"/>
      <c r="D13" s="8" t="n"/>
      <c r="E13" s="8" t="n"/>
      <c r="F13" s="8" t="n"/>
      <c r="G13" s="8" t="n"/>
      <c r="H13" s="8" t="n"/>
      <c r="I13" s="8" t="n"/>
      <c r="J13" s="8" t="n"/>
      <c r="K13" s="8" t="n"/>
      <c r="L13" s="8" t="n"/>
      <c r="M13" s="8" t="n"/>
    </row>
    <row r="14" ht="52" customHeight="1">
      <c r="A14" s="10" t="inlineStr">
        <is>
          <t>TABG</t>
        </is>
      </c>
      <c r="B14" s="11" t="inlineStr">
        <is>
          <t>Tablet mass</t>
        </is>
      </c>
      <c r="C14" s="6" t="inlineStr">
        <is>
          <t>g</t>
        </is>
      </c>
      <c r="D14" s="18">
        <f>CHOOSE($C$4,3.5,4.5)</f>
        <v/>
      </c>
      <c r="E14" s="18">
        <f>CHOOSE($C$4,3.5,4.5)</f>
        <v/>
      </c>
      <c r="F14" s="18">
        <f>CHOOSE($C$4,3.5,4.5)</f>
        <v/>
      </c>
      <c r="G14" s="18">
        <f>CHOOSE($C$3,D14,E14,F14)</f>
        <v/>
      </c>
      <c r="H14" s="17" t="inlineStr">
        <is>
          <t>ASSUMPTION</t>
        </is>
      </c>
      <c r="I14" s="11" t="inlineStr">
        <is>
          <t>Driven by the tablet format switch (C4). The 4.5 g / 33% active load existed to win a price-to-potency argument the user has declined to have (decision 2026-09-22). 3.5 g is cheaper per unit, lighter to post, eases A-032 density and A-004 case geometry. Both modelled as scenarios.</t>
        </is>
      </c>
      <c r="J14" s="11" t="inlineStr"/>
      <c r="K14" s="6" t="inlineStr">
        <is>
          <t>2026-09-22</t>
        </is>
      </c>
      <c r="L14" s="6" t="inlineStr">
        <is>
          <t>n/a</t>
        </is>
      </c>
      <c r="M14" s="6" t="inlineStr">
        <is>
          <t>A-019, A-032</t>
        </is>
      </c>
    </row>
    <row r="15" ht="52" customHeight="1">
      <c r="A15" s="10" t="inlineStr">
        <is>
          <t>PACK</t>
        </is>
      </c>
      <c r="B15" s="11" t="inlineStr">
        <is>
          <t>Servings per monthly pack</t>
        </is>
      </c>
      <c r="C15" s="6" t="inlineStr">
        <is>
          <t>tablets</t>
        </is>
      </c>
      <c r="D15" s="19" t="n">
        <v>30</v>
      </c>
      <c r="E15" s="19" t="n">
        <v>30</v>
      </c>
      <c r="F15" s="19" t="n">
        <v>30</v>
      </c>
      <c r="G15" s="20">
        <f>CHOOSE($C$3,D15,E15,F15)</f>
        <v/>
      </c>
      <c r="H15" s="17" t="inlineStr">
        <is>
          <t>ASSUMPTION</t>
        </is>
      </c>
      <c r="I15" s="11" t="inlineStr">
        <is>
          <t>Follows the usage, not the brief. A morning ritual is genuinely daily, so the pack should be a calendar month of servings. The brief's 24 was sized against the OLD occasion set (office/gym days) and over-shipped by ~45% at those occasions — that finding is now superseded.</t>
        </is>
      </c>
      <c r="J15" s="11" t="inlineStr"/>
      <c r="K15" s="6" t="inlineStr">
        <is>
          <t>2026-09-22</t>
        </is>
      </c>
      <c r="L15" s="6" t="inlineStr">
        <is>
          <t>n/a</t>
        </is>
      </c>
      <c r="M15" s="6" t="inlineStr">
        <is>
          <t>A-014</t>
        </is>
      </c>
    </row>
    <row r="16" ht="52" customHeight="1">
      <c r="A16" s="10" t="inlineStr">
        <is>
          <t>USE</t>
        </is>
      </c>
      <c r="B16" s="11" t="inlineStr">
        <is>
          <t>Servings actually consumed per month</t>
        </is>
      </c>
      <c r="C16" s="6" t="inlineStr">
        <is>
          <t>servings/mo</t>
        </is>
      </c>
      <c r="D16" s="19" t="n">
        <v>24</v>
      </c>
      <c r="E16" s="19" t="n">
        <v>29</v>
      </c>
      <c r="F16" s="19" t="n">
        <v>31</v>
      </c>
      <c r="G16" s="20">
        <f>CHOOSE($C$3,D16,E16,F16)</f>
        <v/>
      </c>
      <c r="H16" s="21" t="inlineStr">
        <is>
          <t>ESTIMATE</t>
        </is>
      </c>
      <c r="I16" s="11" t="inlineStr">
        <is>
          <t>Daily ritual with realistic slippage. Low = drifts to weekdays only (~5.5/wk). Base = 29 (misses ~1 day/month). High = 31 (occasional second tablet). Supersedes the 8/16/26 range in customer-segments.md §3.3, which was measured against occasion-based use, not a morning ritual. NEEDS SURVEY VALIDATION.</t>
        </is>
      </c>
      <c r="J16" s="11" t="inlineStr"/>
      <c r="K16" s="6" t="inlineStr">
        <is>
          <t>2026-09-22</t>
        </is>
      </c>
      <c r="L16" s="6" t="inlineStr">
        <is>
          <t>low-med</t>
        </is>
      </c>
      <c r="M16" s="6" t="inlineStr">
        <is>
          <t>A-014</t>
        </is>
      </c>
    </row>
    <row r="17" ht="26" customHeight="1">
      <c r="A17" s="10" t="inlineStr">
        <is>
          <t>QPACK</t>
        </is>
      </c>
      <c r="B17" s="11" t="inlineStr">
        <is>
          <t>Servings per quarterly prepay pack</t>
        </is>
      </c>
      <c r="C17" s="6" t="inlineStr">
        <is>
          <t>tablets</t>
        </is>
      </c>
      <c r="D17" s="19" t="n">
        <v>90</v>
      </c>
      <c r="E17" s="19" t="n">
        <v>90</v>
      </c>
      <c r="F17" s="19" t="n">
        <v>90</v>
      </c>
      <c r="G17" s="20">
        <f>CHOOSE($C$3,D17,E17,F17)</f>
        <v/>
      </c>
      <c r="H17" s="17" t="inlineStr">
        <is>
          <t>ASSUMPTION</t>
        </is>
      </c>
      <c r="I17" s="11" t="inlineStr">
        <is>
          <t>Three monthly packs shipped together. Tests whether cadence, not price, is the lever on CAC payback.</t>
        </is>
      </c>
      <c r="J17" s="11" t="inlineStr"/>
      <c r="K17" s="6" t="inlineStr">
        <is>
          <t>2026-09-22</t>
        </is>
      </c>
      <c r="L17" s="6" t="inlineStr">
        <is>
          <t>n/a</t>
        </is>
      </c>
      <c r="M17" s="6" t="inlineStr"/>
    </row>
    <row r="18">
      <c r="A18" s="8" t="inlineStr"/>
      <c r="B18" s="9" t="inlineStr">
        <is>
          <t>C. COGS BUILD-UP PER TABLET  (illustrative until manufacturers quote — A-002)</t>
        </is>
      </c>
      <c r="C18" s="8" t="n"/>
      <c r="D18" s="8" t="n"/>
      <c r="E18" s="8" t="n"/>
      <c r="F18" s="8" t="n"/>
      <c r="G18" s="8" t="n"/>
      <c r="H18" s="8" t="n"/>
      <c r="I18" s="8" t="n"/>
      <c r="J18" s="8" t="n"/>
      <c r="K18" s="8" t="n"/>
      <c r="L18" s="8" t="n"/>
      <c r="M18" s="8" t="n"/>
    </row>
    <row r="19" ht="39" customHeight="1">
      <c r="A19" s="10" t="inlineStr">
        <is>
          <t>C_BASE</t>
        </is>
      </c>
      <c r="B19" s="11" t="inlineStr">
        <is>
          <t>Effervescent base and excipients (citric acid, sodium/potassium carbonates, bulking, lubricant)</t>
        </is>
      </c>
      <c r="C19" s="6" t="inlineStr">
        <is>
          <t>£/tablet</t>
        </is>
      </c>
      <c r="D19" s="22" t="n">
        <v>0.008</v>
      </c>
      <c r="E19" s="22" t="n">
        <v>0.012</v>
      </c>
      <c r="F19" s="22" t="n">
        <v>0.018</v>
      </c>
      <c r="G19" s="23">
        <f>CHOOSE($C$3,D19,E19,F19)</f>
        <v/>
      </c>
      <c r="H19" s="21" t="inlineStr">
        <is>
          <t>ESTIMATE</t>
        </is>
      </c>
      <c r="I19" s="11" t="inlineStr">
        <is>
          <t>An effervescent tablet is ~50-75% acid/carbonate couple by mass. Commodity food-grade inputs at £2.50-4.00/kg applied to ~2.4-3.1 g of base. Arithmetic is mine; prices are not quoted.</t>
        </is>
      </c>
      <c r="J19" s="11" t="inlineStr"/>
      <c r="K19" s="6" t="inlineStr">
        <is>
          <t>2026-09-22</t>
        </is>
      </c>
      <c r="L19" s="6" t="inlineStr">
        <is>
          <t>low</t>
        </is>
      </c>
      <c r="M19" s="6" t="inlineStr">
        <is>
          <t>A-019</t>
        </is>
      </c>
    </row>
    <row r="20" ht="52" customHeight="1">
      <c r="A20" s="10" t="inlineStr">
        <is>
          <t>C_VIT</t>
        </is>
      </c>
      <c r="B20" s="11" t="inlineStr">
        <is>
          <t>Vitamin and mineral premix — full essential daily panel, permitted GB source forms</t>
        </is>
      </c>
      <c r="C20" s="6" t="inlineStr">
        <is>
          <t>£/tablet</t>
        </is>
      </c>
      <c r="D20" s="22" t="n">
        <v>0.02</v>
      </c>
      <c r="E20" s="22" t="n">
        <v>0.035</v>
      </c>
      <c r="F20" s="22" t="n">
        <v>0.055</v>
      </c>
      <c r="G20" s="23">
        <f>CHOOSE($C$3,D20,E20,F20)</f>
        <v/>
      </c>
      <c r="H20" s="21" t="inlineStr">
        <is>
          <t>ESTIMATE</t>
        </is>
      </c>
      <c r="I20" s="11" t="inlineStr">
        <is>
          <t>A full-NRV multivitamin panel is only a few hundred mg (A-038). Premix, not individual dosing. EXCLUDES zinc bisglycinate (A-043 — source form unconfirmed); assumes zinc citrate/gluconate. Magnesium is the mass driver and is assumed partial-NRV: a full 375 mg NRV as citrate would not fit and would push this line up.</t>
        </is>
      </c>
      <c r="J20" s="11" t="inlineStr"/>
      <c r="K20" s="6" t="inlineStr">
        <is>
          <t>2026-09-22</t>
        </is>
      </c>
      <c r="L20" s="6" t="inlineStr">
        <is>
          <t>low</t>
        </is>
      </c>
      <c r="M20" s="6" t="inlineStr">
        <is>
          <t>A-038, A-043</t>
        </is>
      </c>
    </row>
    <row r="21" ht="104" customHeight="1">
      <c r="A21" s="10" t="inlineStr">
        <is>
          <t>C_ACT</t>
        </is>
      </c>
      <c r="B21" s="11" t="inlineStr">
        <is>
          <t>Caffeine + L-theanine — REMOVED BY DECISION (caffeine-free, 2026-09-22)</t>
        </is>
      </c>
      <c r="C21" s="6" t="inlineStr">
        <is>
          <t>£/tablet</t>
        </is>
      </c>
      <c r="D21" s="23">
        <f>0.015*$C$7</f>
        <v/>
      </c>
      <c r="E21" s="23">
        <f>0.028*$C$7</f>
        <v/>
      </c>
      <c r="F21" s="23">
        <f>0.045*$C$7</f>
        <v/>
      </c>
      <c r="G21" s="23">
        <f>CHOOSE($C$3,D21,E21,F21)</f>
        <v/>
      </c>
      <c r="H21" s="21" t="inlineStr">
        <is>
          <t>ESTIMATE</t>
        </is>
      </c>
      <c r="I21" s="11" t="inlineStr">
        <is>
          <t>ZERO under the caffeine-free decision; switch C7 to 1 to see what caffeine would have cost. The money is small (caffeine is near-free; L-theanine bulk grades £120-250/kg drove the old figure). WHAT IS NOT SMALL IS THE COMPLIANCE SAVING. Going caffeine-free removes the whole A-024 workstream: no &gt;150 mg/L test, no age verification at the D2C checkout (see input AV), no FIC Annex III 4.1/4.2 warning statements competing for space on a 23 mm tablet's pack, no EGCG exposure (A-044) and no L-theanine novel-food question (A-037). It also removes the only ingredient in the formulation with a live regulatory clock on it.</t>
        </is>
      </c>
      <c r="J21" s="11" t="inlineStr"/>
      <c r="K21" s="6" t="inlineStr">
        <is>
          <t>2026-09-22</t>
        </is>
      </c>
      <c r="L21" s="6" t="inlineStr">
        <is>
          <t>low</t>
        </is>
      </c>
      <c r="M21" s="6" t="inlineStr">
        <is>
          <t>A-024, A-037, A-044</t>
        </is>
      </c>
    </row>
    <row r="22" ht="78" customHeight="1">
      <c r="A22" s="10" t="inlineStr">
        <is>
          <t>C_TASTE</t>
        </is>
      </c>
      <c r="B22" s="11" t="inlineStr">
        <is>
          <t>PREMIUM FLAVOUR SYSTEM — natural flavour, Reb-M steviol glycosides (E960), spray-dried fruit powders</t>
        </is>
      </c>
      <c r="C22" s="6" t="inlineStr">
        <is>
          <t>£/tablet</t>
        </is>
      </c>
      <c r="D22" s="22" t="n">
        <v>0.015</v>
      </c>
      <c r="E22" s="22" t="n">
        <v>0.035</v>
      </c>
      <c r="F22" s="22" t="n">
        <v>0.07000000000000001</v>
      </c>
      <c r="G22" s="23">
        <f>CHOOSE($C$3,D22,E22,F22)</f>
        <v/>
      </c>
      <c r="H22" s="21" t="inlineStr">
        <is>
          <t>ESTIMATE</t>
        </is>
      </c>
      <c r="I22" s="11" t="inlineStr">
        <is>
          <t>THE DIFFERENTIATOR LINE. The user's decision makes taste the product, so this is hero spend, not overhead. Range spans a competent commodity flavour (low) to a genuinely premium sensory matrix with real fruit powder and top-grade Reb-M (high). Monk fruit DELETED — not an authorised GB sweetener (A-018), so the brief's two-option sensory matrix has one option. A taste-led strategy costed like a commodity one is the fastest route to a false margin: at the high end this line alone is 23% of tablet COGS.</t>
        </is>
      </c>
      <c r="J22" s="11" t="inlineStr"/>
      <c r="K22" s="6" t="inlineStr">
        <is>
          <t>2026-09-22</t>
        </is>
      </c>
      <c r="L22" s="6" t="inlineStr">
        <is>
          <t>low</t>
        </is>
      </c>
      <c r="M22" s="6" t="inlineStr">
        <is>
          <t>A-018</t>
        </is>
      </c>
    </row>
    <row r="23" ht="52" customHeight="1">
      <c r="A23" s="10" t="inlineStr">
        <is>
          <t>C_CONV</t>
        </is>
      </c>
      <c r="B23" s="11" t="inlineStr">
        <is>
          <t>Tableting and effervescent-line conversion (low-RH suite, tooling time, line rate)</t>
        </is>
      </c>
      <c r="C23" s="6" t="inlineStr">
        <is>
          <t>£/tablet</t>
        </is>
      </c>
      <c r="D23" s="22" t="n">
        <v>0.035</v>
      </c>
      <c r="E23" s="22" t="n">
        <v>0.055</v>
      </c>
      <c r="F23" s="22" t="n">
        <v>0.09</v>
      </c>
      <c r="G23" s="23">
        <f>CHOOSE($C$3,D23,E23,F23)</f>
        <v/>
      </c>
      <c r="H23" s="21" t="inlineStr">
        <is>
          <t>ESTIMATE</t>
        </is>
      </c>
      <c r="I23" s="11" t="inlineStr">
        <is>
          <t>Effervescent blends must be made below 20% RH and sealed immediately (A-005), and building an effervescent line is quoted at 30-60% more expensive than a standard tablet line. This is the structural COGS premium the format carries regardless of what is in it.</t>
        </is>
      </c>
      <c r="J23" s="11" t="inlineStr">
        <is>
          <t>https://www.jinlupacking.com/blogs/effervescent-tablets-guide/ ; https://selvita.com/our-science/resources/blog-articles/effervescent-tablets-a-lasting-trend</t>
        </is>
      </c>
      <c r="K23" s="6" t="inlineStr">
        <is>
          <t>2026-09-22</t>
        </is>
      </c>
      <c r="L23" s="6" t="inlineStr">
        <is>
          <t>low</t>
        </is>
      </c>
      <c r="M23" s="6" t="inlineStr">
        <is>
          <t>A-005</t>
        </is>
      </c>
    </row>
    <row r="24" ht="26" customHeight="1">
      <c r="A24" s="10" t="inlineStr">
        <is>
          <t>C_QC</t>
        </is>
      </c>
      <c r="B24" s="11" t="inlineStr">
        <is>
          <t>QC, stability testing amortisation, yield loss and overage</t>
        </is>
      </c>
      <c r="C24" s="6" t="inlineStr">
        <is>
          <t>£/tablet</t>
        </is>
      </c>
      <c r="D24" s="22" t="n">
        <v>0.005</v>
      </c>
      <c r="E24" s="22" t="n">
        <v>0.01</v>
      </c>
      <c r="F24" s="22" t="n">
        <v>0.02</v>
      </c>
      <c r="G24" s="23">
        <f>CHOOSE($C$3,D24,E24,F24)</f>
        <v/>
      </c>
      <c r="H24" s="21" t="inlineStr">
        <is>
          <t>ESTIMATE</t>
        </is>
      </c>
      <c r="I24" s="11" t="inlineStr">
        <is>
          <t>Accelerated and real-time stability programmes amortised across the first runs, plus scrap.</t>
        </is>
      </c>
      <c r="J24" s="11" t="inlineStr"/>
      <c r="K24" s="6" t="inlineStr">
        <is>
          <t>2026-09-22</t>
        </is>
      </c>
      <c r="L24" s="6" t="inlineStr">
        <is>
          <t>low</t>
        </is>
      </c>
      <c r="M24" s="6" t="inlineStr"/>
    </row>
    <row r="25" ht="208" customHeight="1">
      <c r="A25" s="10" t="inlineStr">
        <is>
          <t>C_PAT</t>
        </is>
      </c>
      <c r="B25" s="11" t="inlineStr">
        <is>
          <t>BRANDED / PATENTED SOURCE-FORM UPLIFT (applies only when switch C6 = 2)</t>
        </is>
      </c>
      <c r="C25" s="6" t="inlineStr">
        <is>
          <t>£/tablet</t>
        </is>
      </c>
      <c r="D25" s="22" t="n">
        <v>0.035</v>
      </c>
      <c r="E25" s="22" t="n">
        <v>0.08</v>
      </c>
      <c r="F25" s="22" t="n">
        <v>0.16</v>
      </c>
      <c r="G25" s="23">
        <f>CHOOSE($C$3,D25,E25,F25)</f>
        <v/>
      </c>
      <c r="H25" s="17" t="inlineStr">
        <is>
          <t>ASSUMPTION</t>
        </is>
      </c>
      <c r="I25" s="11" t="inlineStr">
        <is>
          <t>THE 'CLINICAL BUT TASTY' LINE, added 2026-09-22 on CSO direction. vitamin-category-map.md §9 and A-049 say the minimum condition for a survivable premium is carrying something own-label cannot — a branded active at its trialled dose, in the LYMA pattern — because the authorised claims (A-045) are equally available to a £0.06/serving Tesco effervescent. Branded chelates and bioavailable forms (e.g. amino-acid chelated minerals, a branded folate, a branded K2, a branded ascorbate) typically run 3-10x the price of commodity oxides, sulfates and carbonates, and several carry a per-kilo licence or logo fee on top. Applied across a full daily panel this is the largest single swing in the COGS build-up. RANGE IS WIDE ON PURPOSE: no quote exists. RISK, NOT BLOCKER (A-043): GB permitted source forms were frozen by Schedule 2 of the Nutrition (Amendment etc.) (EU Exit) Regs 2019 at end-2020 and have taken ONE amendment since (SI 2023/28, which added only nicotinamide riboside chloride and magnesium citrate malate). A branded form that is freely available in the EU or US may simply not be a permitted GB source form. Every branded form must be checked against Schedule 2 as currently amended BEFORE it is designed into a premium story, because the story does not survive substituting it out.</t>
        </is>
      </c>
      <c r="J25" s="11" t="inlineStr">
        <is>
          <t>https://www.legislation.gov.uk/uksi/2023/28</t>
        </is>
      </c>
      <c r="K25" s="6" t="inlineStr">
        <is>
          <t>2026-09-22</t>
        </is>
      </c>
      <c r="L25" s="6" t="inlineStr">
        <is>
          <t>low</t>
        </is>
      </c>
      <c r="M25" s="6" t="inlineStr">
        <is>
          <t>A-043, A-045, A-049</t>
        </is>
      </c>
    </row>
    <row r="26" ht="52" customHeight="1">
      <c r="A26" s="10" t="inlineStr">
        <is>
          <t>C_UPL</t>
        </is>
      </c>
      <c r="B26" s="11" t="inlineStr">
        <is>
          <t>Uplift factor applied if the 4.5 g tablet is chosen</t>
        </is>
      </c>
      <c r="C26" s="6" t="inlineStr">
        <is>
          <t>x</t>
        </is>
      </c>
      <c r="D26" s="16">
        <f>CHOOSE($C$4,1,1.15)</f>
        <v/>
      </c>
      <c r="E26" s="16">
        <f>CHOOSE($C$4,1,1.20)</f>
        <v/>
      </c>
      <c r="F26" s="16">
        <f>CHOOSE($C$4,1,1.28)</f>
        <v/>
      </c>
      <c r="G26" s="16">
        <f>CHOOSE($C$3,D26,E26,F26)</f>
        <v/>
      </c>
      <c r="H26" s="21" t="inlineStr">
        <is>
          <t>ESTIMATE</t>
        </is>
      </c>
      <c r="I26" s="11" t="inlineStr">
        <is>
          <t>More base mass, more compression time, more active headroom. Applies automatically when switch C4 = 2. NOTE: the payload pressure is now low — potency is not the differentiator and the product is caffeine-free — so the 3.5 g tablet (C4 = 1) is the default and the burden of proof sits on anyone arguing for 4.5 g.</t>
        </is>
      </c>
      <c r="J26" s="11" t="inlineStr"/>
      <c r="K26" s="6" t="inlineStr">
        <is>
          <t>2026-09-22</t>
        </is>
      </c>
      <c r="L26" s="6" t="inlineStr">
        <is>
          <t>low</t>
        </is>
      </c>
      <c r="M26" s="6" t="inlineStr">
        <is>
          <t>A-019</t>
        </is>
      </c>
    </row>
    <row r="27" ht="52" customHeight="1">
      <c r="A27" s="10" t="inlineStr">
        <is>
          <t>C_TAB_C</t>
        </is>
      </c>
      <c r="B27" s="11" t="inlineStr">
        <is>
          <t>TABLET COGS — COMMODITY source forms</t>
        </is>
      </c>
      <c r="C27" s="6" t="inlineStr">
        <is>
          <t>£/tablet</t>
        </is>
      </c>
      <c r="D27" s="23">
        <f>SUM(D19:D24)*D26</f>
        <v/>
      </c>
      <c r="E27" s="23">
        <f>SUM(E19:E24)*E26</f>
        <v/>
      </c>
      <c r="F27" s="23">
        <f>SUM(F19:F24)*F26</f>
        <v/>
      </c>
      <c r="G27" s="23">
        <f>CHOOSE($C$3,D27,E27,F27)</f>
        <v/>
      </c>
      <c r="H27" s="21" t="inlineStr">
        <is>
          <t>ESTIMATE</t>
        </is>
      </c>
      <c r="I27" s="11" t="inlineStr">
        <is>
          <t>Cross-check: format-options.md §8 estimated £0.06-0.10 for a commodity 3.5 g tablet. This model sits above that even on commodity forms, deliberately — because the premium taste system and a full daily panel are not commodity inputs. The brief's £2.20 refill COGS for 24 tablets implies £0.092/tablet (A-002, DISPUTED).</t>
        </is>
      </c>
      <c r="J27" s="11" t="inlineStr"/>
      <c r="K27" s="6" t="inlineStr">
        <is>
          <t>2026-09-22</t>
        </is>
      </c>
      <c r="L27" s="6" t="inlineStr">
        <is>
          <t>low</t>
        </is>
      </c>
      <c r="M27" s="6" t="inlineStr">
        <is>
          <t>A-002</t>
        </is>
      </c>
    </row>
    <row r="28" ht="15" customHeight="1">
      <c r="A28" s="10" t="inlineStr">
        <is>
          <t>C_TAB_P</t>
        </is>
      </c>
      <c r="B28" s="11" t="inlineStr">
        <is>
          <t>TABLET COGS — BRANDED / PATENTED source forms</t>
        </is>
      </c>
      <c r="C28" s="6" t="inlineStr">
        <is>
          <t>£/tablet</t>
        </is>
      </c>
      <c r="D28" s="23">
        <f>D27+D25*D26</f>
        <v/>
      </c>
      <c r="E28" s="23">
        <f>E27+E25*E26</f>
        <v/>
      </c>
      <c r="F28" s="23">
        <f>F27+F25*F26</f>
        <v/>
      </c>
      <c r="G28" s="23">
        <f>CHOOSE($C$3,D28,E28,F28)</f>
        <v/>
      </c>
      <c r="H28" s="21" t="inlineStr">
        <is>
          <t>ESTIMATE</t>
        </is>
      </c>
      <c r="I28" s="11" t="inlineStr">
        <is>
          <t>The 'clinical' formulation. Sheet 07 shows what it does to the price floor.</t>
        </is>
      </c>
      <c r="J28" s="11" t="inlineStr"/>
      <c r="K28" s="6" t="inlineStr">
        <is>
          <t>2026-09-22</t>
        </is>
      </c>
      <c r="L28" s="6" t="inlineStr">
        <is>
          <t>low</t>
        </is>
      </c>
      <c r="M28" s="6" t="inlineStr">
        <is>
          <t>A-049</t>
        </is>
      </c>
    </row>
    <row r="29" ht="15" customHeight="1">
      <c r="A29" s="10" t="inlineStr">
        <is>
          <t>C_TAB</t>
        </is>
      </c>
      <c r="B29" s="11" t="inlineStr">
        <is>
          <t>TOTAL TABLET COGS  (follows switch C6)</t>
        </is>
      </c>
      <c r="C29" s="6" t="inlineStr">
        <is>
          <t>£/tablet</t>
        </is>
      </c>
      <c r="D29" s="23">
        <f>CHOOSE($C$6,D27,D28)</f>
        <v/>
      </c>
      <c r="E29" s="23">
        <f>CHOOSE($C$6,E27,E28)</f>
        <v/>
      </c>
      <c r="F29" s="23">
        <f>CHOOSE($C$6,F27,F28)</f>
        <v/>
      </c>
      <c r="G29" s="23">
        <f>CHOOSE($C$3,D29,E29,F29)</f>
        <v/>
      </c>
      <c r="H29" s="21" t="inlineStr">
        <is>
          <t>ESTIMATE</t>
        </is>
      </c>
      <c r="I29" s="11" t="inlineStr">
        <is>
          <t>This is the figure every other sheet uses.</t>
        </is>
      </c>
      <c r="J29" s="11" t="inlineStr"/>
      <c r="K29" s="6" t="inlineStr">
        <is>
          <t>2026-09-22</t>
        </is>
      </c>
      <c r="L29" s="6" t="inlineStr">
        <is>
          <t>low</t>
        </is>
      </c>
      <c r="M29" s="6" t="inlineStr">
        <is>
          <t>A-002</t>
        </is>
      </c>
    </row>
    <row r="30">
      <c r="A30" s="8" t="inlineStr"/>
      <c r="B30" s="9" t="inlineStr">
        <is>
          <t>D. PACKAGING AND HARDWARE COGS</t>
        </is>
      </c>
      <c r="C30" s="8" t="n"/>
      <c r="D30" s="8" t="n"/>
      <c r="E30" s="8" t="n"/>
      <c r="F30" s="8" t="n"/>
      <c r="G30" s="8" t="n"/>
      <c r="H30" s="8" t="n"/>
      <c r="I30" s="8" t="n"/>
      <c r="J30" s="8" t="n"/>
      <c r="K30" s="8" t="n"/>
      <c r="L30" s="8" t="n"/>
      <c r="M30" s="8" t="n"/>
    </row>
    <row r="31" ht="39" customHeight="1">
      <c r="A31" s="10" t="inlineStr">
        <is>
          <t>C_BLI</t>
        </is>
      </c>
      <c r="B31" s="11" t="inlineStr">
        <is>
          <t>Blister per tablet (alu/alu sealed strip — required by A-005)</t>
        </is>
      </c>
      <c r="C31" s="6" t="inlineStr">
        <is>
          <t>£/tablet</t>
        </is>
      </c>
      <c r="D31" s="22" t="n">
        <v>0.008</v>
      </c>
      <c r="E31" s="22" t="n">
        <v>0.015</v>
      </c>
      <c r="F31" s="22" t="n">
        <v>0.028</v>
      </c>
      <c r="G31" s="23">
        <f>CHOOSE($C$3,D31,E31,F31)</f>
        <v/>
      </c>
      <c r="H31" s="21" t="inlineStr">
        <is>
          <t>ESTIMATE</t>
        </is>
      </c>
      <c r="I31" s="11" t="inlineStr">
        <is>
          <t>Loose tablets in a repeatedly-opened case do not meet the moisture specification (A-005, near-disproved). Individually sealed blisters are the fix and they add COGS. Includes materials plus blistering conversion.</t>
        </is>
      </c>
      <c r="J31" s="11" t="inlineStr">
        <is>
          <t>https://prosafenutra.com/effervescent-tablet-manufacturer-mastering-stability-moisture-control/</t>
        </is>
      </c>
      <c r="K31" s="6" t="inlineStr">
        <is>
          <t>2026-09-22</t>
        </is>
      </c>
      <c r="L31" s="6" t="inlineStr">
        <is>
          <t>low</t>
        </is>
      </c>
      <c r="M31" s="6" t="inlineStr">
        <is>
          <t>A-005</t>
        </is>
      </c>
    </row>
    <row r="32" ht="26" customHeight="1">
      <c r="A32" s="10" t="inlineStr">
        <is>
          <t>C_CAR</t>
        </is>
      </c>
      <c r="B32" s="11" t="inlineStr">
        <is>
          <t>Refill carton and letterbox mailer, per order</t>
        </is>
      </c>
      <c r="C32" s="6" t="inlineStr">
        <is>
          <t>£/order</t>
        </is>
      </c>
      <c r="D32" s="24" t="n">
        <v>0.18</v>
      </c>
      <c r="E32" s="24" t="n">
        <v>0.3</v>
      </c>
      <c r="F32" s="24" t="n">
        <v>0.55</v>
      </c>
      <c r="G32" s="25">
        <f>CHOOSE($C$3,D32,E32,F32)</f>
        <v/>
      </c>
      <c r="H32" s="21" t="inlineStr">
        <is>
          <t>ESTIMATE</t>
        </is>
      </c>
      <c r="I32" s="11" t="inlineStr">
        <is>
          <t>Printed carton plus a rigid flat mailer that holds the &lt;=25 mm depth. Depth compliance is not free: it needs a board spec that does not bulge.</t>
        </is>
      </c>
      <c r="J32" s="11" t="inlineStr"/>
      <c r="K32" s="6" t="inlineStr">
        <is>
          <t>2026-09-22</t>
        </is>
      </c>
      <c r="L32" s="6" t="inlineStr">
        <is>
          <t>low</t>
        </is>
      </c>
      <c r="M32" s="6" t="inlineStr">
        <is>
          <t>A-006</t>
        </is>
      </c>
    </row>
    <row r="33" ht="26" customHeight="1">
      <c r="A33" s="10" t="inlineStr">
        <is>
          <t>C_INS</t>
        </is>
      </c>
      <c r="B33" s="11" t="inlineStr">
        <is>
          <t>Insert, leaflet and label, per order</t>
        </is>
      </c>
      <c r="C33" s="6" t="inlineStr">
        <is>
          <t>£/order</t>
        </is>
      </c>
      <c r="D33" s="24" t="n">
        <v>0.05</v>
      </c>
      <c r="E33" s="24" t="n">
        <v>0.1</v>
      </c>
      <c r="F33" s="24" t="n">
        <v>0.2</v>
      </c>
      <c r="G33" s="25">
        <f>CHOOSE($C$3,D33,E33,F33)</f>
        <v/>
      </c>
      <c r="H33" s="21" t="inlineStr">
        <is>
          <t>ESTIMATE</t>
        </is>
      </c>
      <c r="I33" s="11" t="inlineStr">
        <is>
          <t>A food supplement carries a long mandatory-particulars set (claims-library §8.1), so the leaflet is not optional.</t>
        </is>
      </c>
      <c r="J33" s="11" t="inlineStr"/>
      <c r="K33" s="6" t="inlineStr">
        <is>
          <t>2026-09-22</t>
        </is>
      </c>
      <c r="L33" s="6" t="inlineStr">
        <is>
          <t>low</t>
        </is>
      </c>
      <c r="M33" s="6" t="inlineStr"/>
    </row>
    <row r="34" ht="52" customHeight="1">
      <c r="A34" s="10" t="inlineStr">
        <is>
          <t>C_CASE</t>
        </is>
      </c>
      <c r="B34" s="11" t="inlineStr">
        <is>
          <t>Aluminium pocket case — unit cost at launch volumes</t>
        </is>
      </c>
      <c r="C34" s="6" t="inlineStr">
        <is>
          <t>£/unit</t>
        </is>
      </c>
      <c r="D34" s="26" t="n">
        <v>6</v>
      </c>
      <c r="E34" s="26" t="n">
        <v>9.5</v>
      </c>
      <c r="F34" s="26" t="n">
        <v>15</v>
      </c>
      <c r="G34" s="27">
        <f>CHOOSE($C$3,D34,E34,F34)</f>
        <v/>
      </c>
      <c r="H34" s="17" t="inlineStr">
        <is>
          <t>ASSUMPTION</t>
        </is>
      </c>
      <c r="I34" s="11" t="inlineStr">
        <is>
          <t>CNC-milled and anodised at 1,500-5,000 units. No quote obtained; this is my judgement of the shape of the cost, not a price. The brief's £5.50 covered the case AND 24 tablets, which is not credible at launch volumes (A-001). Deep-drawn stamping is far cheaper per unit but needs hard tooling and a much larger first run.</t>
        </is>
      </c>
      <c r="J34" s="11" t="inlineStr"/>
      <c r="K34" s="6" t="inlineStr">
        <is>
          <t>2026-09-22</t>
        </is>
      </c>
      <c r="L34" s="6" t="inlineStr">
        <is>
          <t>low</t>
        </is>
      </c>
      <c r="M34" s="6" t="inlineStr">
        <is>
          <t>A-001, A-025</t>
        </is>
      </c>
    </row>
    <row r="35" ht="15" customHeight="1">
      <c r="A35" s="10" t="inlineStr">
        <is>
          <t>C_TOOL</t>
        </is>
      </c>
      <c r="B35" s="11" t="inlineStr">
        <is>
          <t>Case tooling, fixtures, programming and first-article — one-off</t>
        </is>
      </c>
      <c r="C35" s="6" t="inlineStr">
        <is>
          <t>£</t>
        </is>
      </c>
      <c r="D35" s="26" t="n">
        <v>1500</v>
      </c>
      <c r="E35" s="26" t="n">
        <v>4000</v>
      </c>
      <c r="F35" s="26" t="n">
        <v>9000</v>
      </c>
      <c r="G35" s="27">
        <f>CHOOSE($C$3,D35,E35,F35)</f>
        <v/>
      </c>
      <c r="H35" s="17" t="inlineStr">
        <is>
          <t>ASSUMPTION</t>
        </is>
      </c>
      <c r="I35" s="11" t="inlineStr">
        <is>
          <t>CNC route. A stamped route is £8,000-£25,000 of hard tooling instead.</t>
        </is>
      </c>
      <c r="J35" s="11" t="inlineStr"/>
      <c r="K35" s="6" t="inlineStr">
        <is>
          <t>2026-09-22</t>
        </is>
      </c>
      <c r="L35" s="6" t="inlineStr">
        <is>
          <t>low</t>
        </is>
      </c>
      <c r="M35" s="6" t="inlineStr">
        <is>
          <t>A-025</t>
        </is>
      </c>
    </row>
    <row r="36" ht="26" customHeight="1">
      <c r="A36" s="10" t="inlineStr">
        <is>
          <t>C_TAMO</t>
        </is>
      </c>
      <c r="B36" s="11" t="inlineStr">
        <is>
          <t>Units over which case tooling is amortised</t>
        </is>
      </c>
      <c r="C36" s="6" t="inlineStr">
        <is>
          <t>units</t>
        </is>
      </c>
      <c r="D36" s="19" t="n">
        <v>5000</v>
      </c>
      <c r="E36" s="19" t="n">
        <v>3000</v>
      </c>
      <c r="F36" s="19" t="n">
        <v>1500</v>
      </c>
      <c r="G36" s="20">
        <f>CHOOSE($C$3,D36,E36,F36)</f>
        <v/>
      </c>
      <c r="H36" s="17" t="inlineStr">
        <is>
          <t>ASSUMPTION</t>
        </is>
      </c>
      <c r="I36" s="11" t="inlineStr">
        <is>
          <t>Deliberately pessimistic at the High end: if the case is unproven (A-025) the first run is small and the amortisation is brutal.</t>
        </is>
      </c>
      <c r="J36" s="11" t="inlineStr"/>
      <c r="K36" s="6" t="inlineStr">
        <is>
          <t>2026-09-22</t>
        </is>
      </c>
      <c r="L36" s="6" t="inlineStr">
        <is>
          <t>low</t>
        </is>
      </c>
      <c r="M36" s="6" t="inlineStr">
        <is>
          <t>A-025</t>
        </is>
      </c>
    </row>
    <row r="37" ht="26" customHeight="1">
      <c r="A37" s="10" t="inlineStr">
        <is>
          <t>C_CASE_T</t>
        </is>
      </c>
      <c r="B37" s="11" t="inlineStr">
        <is>
          <t>CASE COST INCLUDING TOOLING AMORTISATION</t>
        </is>
      </c>
      <c r="C37" s="6" t="inlineStr">
        <is>
          <t>£/unit</t>
        </is>
      </c>
      <c r="D37" s="27">
        <f>D34+D35/D36</f>
        <v/>
      </c>
      <c r="E37" s="27">
        <f>E34+E35/E36</f>
        <v/>
      </c>
      <c r="F37" s="27">
        <f>F34+F35/F36</f>
        <v/>
      </c>
      <c r="G37" s="27">
        <f>CHOOSE($C$3,D37,E37,F37)</f>
        <v/>
      </c>
      <c r="H37" s="21" t="inlineStr">
        <is>
          <t>ESTIMATE</t>
        </is>
      </c>
      <c r="I37" s="11" t="inlineStr">
        <is>
          <t>This is the number that decides whether the case belongs in the starter kit. Sheet 03 shows the starter kit with and without it.</t>
        </is>
      </c>
      <c r="J37" s="11" t="inlineStr"/>
      <c r="K37" s="6" t="inlineStr">
        <is>
          <t>2026-09-22</t>
        </is>
      </c>
      <c r="L37" s="6" t="inlineStr">
        <is>
          <t>low</t>
        </is>
      </c>
      <c r="M37" s="6" t="inlineStr">
        <is>
          <t>A-025</t>
        </is>
      </c>
    </row>
    <row r="38">
      <c r="A38" s="8" t="inlineStr"/>
      <c r="B38" s="9" t="inlineStr">
        <is>
          <t>E. FULFILMENT, WEIGHT AND POSTAGE  (A-006 — re-checked this session)</t>
        </is>
      </c>
      <c r="C38" s="8" t="n"/>
      <c r="D38" s="8" t="n"/>
      <c r="E38" s="8" t="n"/>
      <c r="F38" s="8" t="n"/>
      <c r="G38" s="8" t="n"/>
      <c r="H38" s="8" t="n"/>
      <c r="I38" s="8" t="n"/>
      <c r="J38" s="8" t="n"/>
      <c r="K38" s="8" t="n"/>
      <c r="L38" s="8" t="n"/>
      <c r="M38" s="8" t="n"/>
    </row>
    <row r="39" ht="26" customHeight="1">
      <c r="A39" s="10" t="inlineStr">
        <is>
          <t>FUL</t>
        </is>
      </c>
      <c r="B39" s="11" t="inlineStr">
        <is>
          <t>Fulfilment: 3PL pick, pack and handling, per order</t>
        </is>
      </c>
      <c r="C39" s="6" t="inlineStr">
        <is>
          <t>£/order</t>
        </is>
      </c>
      <c r="D39" s="26" t="n">
        <v>0.85</v>
      </c>
      <c r="E39" s="26" t="n">
        <v>1.3</v>
      </c>
      <c r="F39" s="26" t="n">
        <v>2.1</v>
      </c>
      <c r="G39" s="27">
        <f>CHOOSE($C$3,D39,E39,F39)</f>
        <v/>
      </c>
      <c r="H39" s="21" t="inlineStr">
        <is>
          <t>ESTIMATE</t>
        </is>
      </c>
      <c r="I39" s="11" t="inlineStr">
        <is>
          <t>UK 3PL letterbox pick-and-pack at low volume, including receipt and storage recharge. No quote obtained.</t>
        </is>
      </c>
      <c r="J39" s="11" t="inlineStr"/>
      <c r="K39" s="6" t="inlineStr">
        <is>
          <t>2026-09-22</t>
        </is>
      </c>
      <c r="L39" s="6" t="inlineStr">
        <is>
          <t>low</t>
        </is>
      </c>
      <c r="M39" s="6" t="inlineStr"/>
    </row>
    <row r="40" ht="15" customHeight="1">
      <c r="A40" s="10" t="inlineStr">
        <is>
          <t>W_BLI</t>
        </is>
      </c>
      <c r="B40" s="11" t="inlineStr">
        <is>
          <t>Blister carrier mass per tablet</t>
        </is>
      </c>
      <c r="C40" s="6" t="inlineStr">
        <is>
          <t>g</t>
        </is>
      </c>
      <c r="D40" s="28" t="n">
        <v>0.8</v>
      </c>
      <c r="E40" s="28" t="n">
        <v>1.2</v>
      </c>
      <c r="F40" s="28" t="n">
        <v>1.8</v>
      </c>
      <c r="G40" s="18">
        <f>CHOOSE($C$3,D40,E40,F40)</f>
        <v/>
      </c>
      <c r="H40" s="21" t="inlineStr">
        <is>
          <t>ESTIMATE</t>
        </is>
      </c>
      <c r="I40" s="11" t="inlineStr">
        <is>
          <t>Alu/alu foil and lidding.</t>
        </is>
      </c>
      <c r="J40" s="11" t="inlineStr"/>
      <c r="K40" s="6" t="inlineStr">
        <is>
          <t>2026-09-22</t>
        </is>
      </c>
      <c r="L40" s="6" t="inlineStr">
        <is>
          <t>low</t>
        </is>
      </c>
      <c r="M40" s="6" t="inlineStr"/>
    </row>
    <row r="41" ht="15" customHeight="1">
      <c r="A41" s="10" t="inlineStr">
        <is>
          <t>W_TARE</t>
        </is>
      </c>
      <c r="B41" s="11" t="inlineStr">
        <is>
          <t>Mailer, carton and insert tare mass</t>
        </is>
      </c>
      <c r="C41" s="6" t="inlineStr">
        <is>
          <t>g</t>
        </is>
      </c>
      <c r="D41" s="28" t="n">
        <v>28</v>
      </c>
      <c r="E41" s="28" t="n">
        <v>38</v>
      </c>
      <c r="F41" s="28" t="n">
        <v>55</v>
      </c>
      <c r="G41" s="18">
        <f>CHOOSE($C$3,D41,E41,F41)</f>
        <v/>
      </c>
      <c r="H41" s="21" t="inlineStr">
        <is>
          <t>ESTIMATE</t>
        </is>
      </c>
      <c r="I41" s="11" t="inlineStr">
        <is>
          <t>Flat rigid mailer plus carton plus leaflet.</t>
        </is>
      </c>
      <c r="J41" s="11" t="inlineStr"/>
      <c r="K41" s="6" t="inlineStr">
        <is>
          <t>2026-09-22</t>
        </is>
      </c>
      <c r="L41" s="6" t="inlineStr">
        <is>
          <t>low</t>
        </is>
      </c>
      <c r="M41" s="6" t="inlineStr"/>
    </row>
    <row r="42" ht="26" customHeight="1">
      <c r="A42" s="10" t="inlineStr">
        <is>
          <t>W_CASE</t>
        </is>
      </c>
      <c r="B42" s="11" t="inlineStr">
        <is>
          <t>Aluminium case mass</t>
        </is>
      </c>
      <c r="C42" s="6" t="inlineStr">
        <is>
          <t>g</t>
        </is>
      </c>
      <c r="D42" s="28" t="n">
        <v>55</v>
      </c>
      <c r="E42" s="28" t="n">
        <v>70</v>
      </c>
      <c r="F42" s="28" t="n">
        <v>90</v>
      </c>
      <c r="G42" s="18">
        <f>CHOOSE($C$3,D42,E42,F42)</f>
        <v/>
      </c>
      <c r="H42" s="21" t="inlineStr">
        <is>
          <t>ESTIMATE</t>
        </is>
      </c>
      <c r="I42" s="11" t="inlineStr">
        <is>
          <t>110 x 62 x 11 mm anodised aluminium shell (geometry itself is INCORRECT per A-004 — a redesign changes this).</t>
        </is>
      </c>
      <c r="J42" s="11" t="inlineStr"/>
      <c r="K42" s="6" t="inlineStr">
        <is>
          <t>2026-09-22</t>
        </is>
      </c>
      <c r="L42" s="6" t="inlineStr">
        <is>
          <t>low</t>
        </is>
      </c>
      <c r="M42" s="6" t="inlineStr">
        <is>
          <t>A-004</t>
        </is>
      </c>
    </row>
    <row r="43" ht="78" customHeight="1">
      <c r="A43" s="10" t="inlineStr">
        <is>
          <t>P100</t>
        </is>
      </c>
      <c r="B43" s="11" t="inlineStr">
        <is>
          <t>Royal Mail 2nd Class Large Letter, 0-100 g</t>
        </is>
      </c>
      <c r="C43" s="6" t="inlineStr">
        <is>
          <t>£</t>
        </is>
      </c>
      <c r="D43" s="26" t="n">
        <v>1.55</v>
      </c>
      <c r="E43" s="26" t="n">
        <v>1.55</v>
      </c>
      <c r="F43" s="26" t="n">
        <v>1.55</v>
      </c>
      <c r="G43" s="27">
        <f>CHOOSE($C$3,D43,E43,F43)</f>
        <v/>
      </c>
      <c r="H43" s="21" t="inlineStr">
        <is>
          <t>ESTIMATE</t>
        </is>
      </c>
      <c r="I43" s="11" t="inlineStr">
        <is>
          <t>RE-CHECKED 2026-09-22 via search summaries and it CONTRADICTS A-006, which recorded £1.77 (1st) / £1.80. The figures now returned are: 2nd class Large Letter 0-100 g £1.55, unchanged at the 7 April 2026 revision; 1st class Large Letter 0-100 g returned as £3.30. A-006 appears to have conflated the 1st class LETTER price (£1.80) with the Large Letter price. NOT A DIRECT READ — royalmail.com and mailcoms.co.uk are both blocked by the egress proxy. Must be read from the tariff PDF before anyone commits.</t>
        </is>
      </c>
      <c r="J43" s="11" t="inlineStr">
        <is>
          <t>https://www.royalmail.com/prices2026 ; https://www.mailcoms.co.uk/current-royal-mail-postage-rates/ ; https://www.mymailingroom.com/rm-prices</t>
        </is>
      </c>
      <c r="K43" s="6" t="inlineStr">
        <is>
          <t>2026-09-22</t>
        </is>
      </c>
      <c r="L43" s="6" t="inlineStr">
        <is>
          <t>med</t>
        </is>
      </c>
      <c r="M43" s="6" t="inlineStr">
        <is>
          <t>A-006</t>
        </is>
      </c>
    </row>
    <row r="44" ht="39" customHeight="1">
      <c r="A44" s="10" t="inlineStr">
        <is>
          <t>P250</t>
        </is>
      </c>
      <c r="B44" s="11" t="inlineStr">
        <is>
          <t>Royal Mail 2nd Class Large Letter, 101-250 g  &lt;&lt; THE BASE CASE BAND</t>
        </is>
      </c>
      <c r="C44" s="6" t="inlineStr">
        <is>
          <t>£</t>
        </is>
      </c>
      <c r="D44" s="26" t="n">
        <v>2.2</v>
      </c>
      <c r="E44" s="26" t="n">
        <v>2.2</v>
      </c>
      <c r="F44" s="26" t="n">
        <v>2.2</v>
      </c>
      <c r="G44" s="27">
        <f>CHOOSE($C$3,D44,E44,F44)</f>
        <v/>
      </c>
      <c r="H44" s="21" t="inlineStr">
        <is>
          <t>ESTIMATE</t>
        </is>
      </c>
      <c r="I44" s="11" t="inlineStr">
        <is>
          <t>THIS IS THE BAND V-DROP LIVES IN AND IT IS STRUCTURAL. 30 x 3.5 g = 105 g of tablets alone, so the sub-100 g band is unreachable at a daily pack in either tablet size. The brief's 'under £1.60' is not achievable on any plausible pack.</t>
        </is>
      </c>
      <c r="J44" s="11" t="inlineStr">
        <is>
          <t>https://www.royalmail.com/prices2026 ; https://www.mailcoms.co.uk/current-royal-mail-postage-rates/</t>
        </is>
      </c>
      <c r="K44" s="6" t="inlineStr">
        <is>
          <t>2026-09-22</t>
        </is>
      </c>
      <c r="L44" s="6" t="inlineStr">
        <is>
          <t>med</t>
        </is>
      </c>
      <c r="M44" s="6" t="inlineStr">
        <is>
          <t>A-006</t>
        </is>
      </c>
    </row>
    <row r="45" ht="15" customHeight="1">
      <c r="A45" s="10" t="inlineStr">
        <is>
          <t>P500</t>
        </is>
      </c>
      <c r="B45" s="11" t="inlineStr">
        <is>
          <t>Royal Mail 2nd Class Large Letter, 251-500 g</t>
        </is>
      </c>
      <c r="C45" s="6" t="inlineStr">
        <is>
          <t>£</t>
        </is>
      </c>
      <c r="D45" s="26" t="n">
        <v>2.85</v>
      </c>
      <c r="E45" s="26" t="n">
        <v>2.85</v>
      </c>
      <c r="F45" s="26" t="n">
        <v>2.85</v>
      </c>
      <c r="G45" s="27">
        <f>CHOOSE($C$3,D45,E45,F45)</f>
        <v/>
      </c>
      <c r="H45" s="21" t="inlineStr">
        <is>
          <t>ESTIMATE</t>
        </is>
      </c>
      <c r="I45" s="11" t="inlineStr">
        <is>
          <t>The band a 90-tablet quarterly pack falls into. 90 x 3.5 g = 315 g of tablets alone.</t>
        </is>
      </c>
      <c r="J45" s="11" t="inlineStr">
        <is>
          <t>https://www.royalmail.com/prices2026</t>
        </is>
      </c>
      <c r="K45" s="6" t="inlineStr">
        <is>
          <t>2026-09-22</t>
        </is>
      </c>
      <c r="L45" s="6" t="inlineStr">
        <is>
          <t>med</t>
        </is>
      </c>
      <c r="M45" s="6" t="inlineStr">
        <is>
          <t>A-006</t>
        </is>
      </c>
    </row>
    <row r="46" ht="15" customHeight="1">
      <c r="A46" s="10" t="inlineStr">
        <is>
          <t>P750</t>
        </is>
      </c>
      <c r="B46" s="11" t="inlineStr">
        <is>
          <t>Royal Mail 2nd Class Large Letter, 501-750 g</t>
        </is>
      </c>
      <c r="C46" s="6" t="inlineStr">
        <is>
          <t>£</t>
        </is>
      </c>
      <c r="D46" s="26" t="n">
        <v>3.75</v>
      </c>
      <c r="E46" s="26" t="n">
        <v>3.75</v>
      </c>
      <c r="F46" s="26" t="n">
        <v>3.75</v>
      </c>
      <c r="G46" s="27">
        <f>CHOOSE($C$3,D46,E46,F46)</f>
        <v/>
      </c>
      <c r="H46" s="21" t="inlineStr">
        <is>
          <t>ESTIMATE</t>
        </is>
      </c>
      <c r="I46" s="11" t="inlineStr">
        <is>
          <t>750 g and 25 mm depth are the hard Large Letter maxima.</t>
        </is>
      </c>
      <c r="J46" s="11" t="inlineStr">
        <is>
          <t>https://www.royalmail.com/prices2026</t>
        </is>
      </c>
      <c r="K46" s="6" t="inlineStr">
        <is>
          <t>2026-09-22</t>
        </is>
      </c>
      <c r="L46" s="6" t="inlineStr">
        <is>
          <t>med</t>
        </is>
      </c>
      <c r="M46" s="6" t="inlineStr">
        <is>
          <t>A-006</t>
        </is>
      </c>
    </row>
    <row r="47" ht="78" customHeight="1">
      <c r="A47" s="10" t="inlineStr">
        <is>
          <t>PPAR</t>
        </is>
      </c>
      <c r="B47" s="11" t="inlineStr">
        <is>
          <t>Royal Mail 2nd Class Small Parcel — what a TUBE competitor must pay</t>
        </is>
      </c>
      <c r="C47" s="6" t="inlineStr">
        <is>
          <t>£</t>
        </is>
      </c>
      <c r="D47" s="26" t="n">
        <v>3.29</v>
      </c>
      <c r="E47" s="26" t="n">
        <v>3.69</v>
      </c>
      <c r="F47" s="26" t="n">
        <v>4.19</v>
      </c>
      <c r="G47" s="27">
        <f>CHOOSE($C$3,D47,E47,F47)</f>
        <v/>
      </c>
      <c r="H47" s="17" t="inlineStr">
        <is>
          <t>ASSUMPTION</t>
        </is>
      </c>
      <c r="I47" s="11" t="inlineStr">
        <is>
          <t>THE ONE QUANTIFIED D2C COST ADVANTAGE THE FORMAT HAS. Large Letter depth is capped at 25 mm; a standard effervescent tube for a 23-27 mm tablet is ~28-30 mm in diameter, so every tube-based competitor must ship a parcel and V-Drop's flat blister architecture need not. I could not source the exact 2026 small-parcel tariff (proxy blocked), so this is a ranged assumption — but the BAND STRUCTURE and the 25 mm depth limit are not in doubt.</t>
        </is>
      </c>
      <c r="J47" s="11" t="inlineStr">
        <is>
          <t>https://www.royalmail.com/prices2026 ; research/format-options.md §7</t>
        </is>
      </c>
      <c r="K47" s="6" t="inlineStr">
        <is>
          <t>2026-09-22</t>
        </is>
      </c>
      <c r="L47" s="6" t="inlineStr">
        <is>
          <t>low</t>
        </is>
      </c>
      <c r="M47" s="6" t="inlineStr">
        <is>
          <t>A-006, A-030</t>
        </is>
      </c>
    </row>
    <row r="48" ht="39" customHeight="1">
      <c r="A48" s="10" t="inlineStr">
        <is>
          <t>PDIS</t>
        </is>
      </c>
      <c r="B48" s="11" t="inlineStr">
        <is>
          <t>Business / Mailmark discount multiplier on the stamp tariff</t>
        </is>
      </c>
      <c r="C48" s="6" t="inlineStr">
        <is>
          <t>x</t>
        </is>
      </c>
      <c r="D48" s="15" t="n">
        <v>0.55</v>
      </c>
      <c r="E48" s="15" t="n">
        <v>0.78</v>
      </c>
      <c r="F48" s="15" t="n">
        <v>1</v>
      </c>
      <c r="G48" s="16">
        <f>CHOOSE($C$3,D48,E48,F48)</f>
        <v/>
      </c>
      <c r="H48" s="17" t="inlineStr">
        <is>
          <t>ASSUMPTION</t>
        </is>
      </c>
      <c r="I48" s="11" t="inlineStr">
        <is>
          <t>A real D2C subscription would post on a business account or via a consolidator, not on stamps. No rate card obtained. Base assumes a modest 22% discount; High (1.00) assumes stamp prices, i.e. no account at all.</t>
        </is>
      </c>
      <c r="J48" s="11" t="inlineStr"/>
      <c r="K48" s="6" t="inlineStr">
        <is>
          <t>2026-09-22</t>
        </is>
      </c>
      <c r="L48" s="6" t="inlineStr">
        <is>
          <t>low</t>
        </is>
      </c>
      <c r="M48" s="6" t="inlineStr">
        <is>
          <t>A-006</t>
        </is>
      </c>
    </row>
    <row r="49">
      <c r="A49" s="8" t="inlineStr"/>
      <c r="B49" s="9" t="inlineStr">
        <is>
          <t>F. PAYMENT, BREAKAGE AND RETURNS</t>
        </is>
      </c>
      <c r="C49" s="8" t="n"/>
      <c r="D49" s="8" t="n"/>
      <c r="E49" s="8" t="n"/>
      <c r="F49" s="8" t="n"/>
      <c r="G49" s="8" t="n"/>
      <c r="H49" s="8" t="n"/>
      <c r="I49" s="8" t="n"/>
      <c r="J49" s="8" t="n"/>
      <c r="K49" s="8" t="n"/>
      <c r="L49" s="8" t="n"/>
      <c r="M49" s="8" t="n"/>
    </row>
    <row r="50" ht="39" customHeight="1">
      <c r="A50" s="10" t="inlineStr">
        <is>
          <t>PAY_R</t>
        </is>
      </c>
      <c r="B50" s="11" t="inlineStr">
        <is>
          <t>Payment processing rate</t>
        </is>
      </c>
      <c r="C50" s="6" t="inlineStr">
        <is>
          <t>% of billed amount</t>
        </is>
      </c>
      <c r="D50" s="29" t="n">
        <v>0.015</v>
      </c>
      <c r="E50" s="29" t="n">
        <v>0.019</v>
      </c>
      <c r="F50" s="29" t="n">
        <v>0.026</v>
      </c>
      <c r="G50" s="30">
        <f>CHOOSE($C$3,D50,E50,F50)</f>
        <v/>
      </c>
      <c r="H50" s="21" t="inlineStr">
        <is>
          <t>ESTIMATE</t>
        </is>
      </c>
      <c r="I50" s="11" t="inlineStr">
        <is>
          <t>Stripe UK standard is 1.5% + 20p for UK cards, higher for EEA and international. Base blends in a realistic non-UK card mix. CHARGED ON THE VAT-INCLUSIVE AMOUNT — so the fee is levied on money that is partly HMRC's, which the brief ignores.</t>
        </is>
      </c>
      <c r="J50" s="11" t="inlineStr"/>
      <c r="K50" s="6" t="inlineStr">
        <is>
          <t>2026-09-22</t>
        </is>
      </c>
      <c r="L50" s="6" t="inlineStr">
        <is>
          <t>med</t>
        </is>
      </c>
      <c r="M50" s="6" t="inlineStr"/>
    </row>
    <row r="51" ht="15" customHeight="1">
      <c r="A51" s="10" t="inlineStr">
        <is>
          <t>PAY_F</t>
        </is>
      </c>
      <c r="B51" s="11" t="inlineStr">
        <is>
          <t>Payment fixed fee per transaction</t>
        </is>
      </c>
      <c r="C51" s="6" t="inlineStr">
        <is>
          <t>£</t>
        </is>
      </c>
      <c r="D51" s="26" t="n">
        <v>0.2</v>
      </c>
      <c r="E51" s="26" t="n">
        <v>0.2</v>
      </c>
      <c r="F51" s="26" t="n">
        <v>0.25</v>
      </c>
      <c r="G51" s="27">
        <f>CHOOSE($C$3,D51,E51,F51)</f>
        <v/>
      </c>
      <c r="H51" s="21" t="inlineStr">
        <is>
          <t>ESTIMATE</t>
        </is>
      </c>
      <c r="I51" s="11" t="inlineStr">
        <is>
          <t>Per successful charge.</t>
        </is>
      </c>
      <c r="J51" s="11" t="inlineStr"/>
      <c r="K51" s="6" t="inlineStr">
        <is>
          <t>2026-09-22</t>
        </is>
      </c>
      <c r="L51" s="6" t="inlineStr">
        <is>
          <t>med</t>
        </is>
      </c>
      <c r="M51" s="6" t="inlineStr"/>
    </row>
    <row r="52" ht="39" customHeight="1">
      <c r="A52" s="10" t="inlineStr">
        <is>
          <t>BRK</t>
        </is>
      </c>
      <c r="B52" s="11" t="inlineStr">
        <is>
          <t>Breakage / damage in transit — orders replaced</t>
        </is>
      </c>
      <c r="C52" s="6" t="inlineStr">
        <is>
          <t>% of orders</t>
        </is>
      </c>
      <c r="D52" s="29" t="n">
        <v>0.005</v>
      </c>
      <c r="E52" s="29" t="n">
        <v>0.015</v>
      </c>
      <c r="F52" s="29" t="n">
        <v>0.04</v>
      </c>
      <c r="G52" s="30">
        <f>CHOOSE($C$3,D52,E52,F52)</f>
        <v/>
      </c>
      <c r="H52" s="17" t="inlineStr">
        <is>
          <t>ASSUMPTION</t>
        </is>
      </c>
      <c r="I52" s="11" t="inlineStr">
        <is>
          <t>Effervescent tablets are friable and moisture-sensitive; a letterbox mailer takes a beating. Cost of a replacement = COGS + fulfilment + postage, with no revenue against it.</t>
        </is>
      </c>
      <c r="J52" s="11" t="inlineStr"/>
      <c r="K52" s="6" t="inlineStr">
        <is>
          <t>2026-09-22</t>
        </is>
      </c>
      <c r="L52" s="6" t="inlineStr">
        <is>
          <t>low</t>
        </is>
      </c>
      <c r="M52" s="6" t="inlineStr"/>
    </row>
    <row r="53" ht="104" customHeight="1">
      <c r="A53" s="10" t="inlineStr">
        <is>
          <t>AV</t>
        </is>
      </c>
      <c r="B53" s="11" t="inlineStr">
        <is>
          <t>Age verification at the D2C checkout — AVOIDED by going caffeine-free</t>
        </is>
      </c>
      <c r="C53" s="6" t="inlineStr">
        <is>
          <t>£/order</t>
        </is>
      </c>
      <c r="D53" s="25">
        <f>0.12*$C$7</f>
        <v/>
      </c>
      <c r="E53" s="25">
        <f>0.25*$C$7</f>
        <v/>
      </c>
      <c r="F53" s="25">
        <f>0.45*$C$7</f>
        <v/>
      </c>
      <c r="G53" s="25">
        <f>CHOOSE($C$3,D53,E53,F53)</f>
        <v/>
      </c>
      <c r="H53" s="17" t="inlineStr">
        <is>
          <t>ASSUMPTION</t>
        </is>
      </c>
      <c r="I53" s="11" t="inlineStr">
        <is>
          <t>ZERO under the caffeine-free decision (switch C7 = 0). At 80 mg per 500 ml the Energy SKU was 160 mg/L, above the &gt;150 mg/L threshold of the England under-16 restriction taking effect 6 April 2027, whose scope expressly covers products reconstituted as drinks — so an online sale would have needed age verification (A-024, exit C). A third-party AV check is a per-transaction cost AND a conversion cost at the single most fragile step in a D2C funnel. This row prices the per-order part only; the one-off part (legal review, pack warning copy, checkout build) is in the launch-capital block and is the larger number.</t>
        </is>
      </c>
      <c r="J53" s="11" t="inlineStr">
        <is>
          <t>https://www.gov.uk/government/news/childrens-health-further-protected-with-energy-drinks-ban</t>
        </is>
      </c>
      <c r="K53" s="6" t="inlineStr">
        <is>
          <t>2026-09-22</t>
        </is>
      </c>
      <c r="L53" s="6" t="inlineStr">
        <is>
          <t>low</t>
        </is>
      </c>
      <c r="M53" s="6" t="inlineStr">
        <is>
          <t>A-024</t>
        </is>
      </c>
    </row>
    <row r="54" ht="39" customHeight="1">
      <c r="A54" s="10" t="inlineStr">
        <is>
          <t>RET</t>
        </is>
      </c>
      <c r="B54" s="11" t="inlineStr">
        <is>
          <t>Returns, refunds and goodwill credits</t>
        </is>
      </c>
      <c r="C54" s="6" t="inlineStr">
        <is>
          <t>% of orders</t>
        </is>
      </c>
      <c r="D54" s="29" t="n">
        <v>0.01</v>
      </c>
      <c r="E54" s="29" t="n">
        <v>0.025</v>
      </c>
      <c r="F54" s="29" t="n">
        <v>0.06</v>
      </c>
      <c r="G54" s="30">
        <f>CHOOSE($C$3,D54,E54,F54)</f>
        <v/>
      </c>
      <c r="H54" s="17" t="inlineStr">
        <is>
          <t>ASSUMPTION</t>
        </is>
      </c>
      <c r="I54" s="11" t="inlineStr">
        <is>
          <t>A taste-led proposition invites 'I didn't like the flavour' refunds. The DMCC subscription regime (autumn 2026 earliest) mandates two cooling-off periods, which raises this line, not lowers it.</t>
        </is>
      </c>
      <c r="J54" s="11" t="inlineStr">
        <is>
          <t>https://www.hsfkramer.com/notes/crt/2026-04/time-to-start-preparing-for-the-new-uk-subscription-contracts-regime</t>
        </is>
      </c>
      <c r="K54" s="6" t="inlineStr">
        <is>
          <t>2026-09-22</t>
        </is>
      </c>
      <c r="L54" s="6" t="inlineStr">
        <is>
          <t>low</t>
        </is>
      </c>
      <c r="M54" s="6" t="inlineStr">
        <is>
          <t>A-013</t>
        </is>
      </c>
    </row>
    <row r="55">
      <c r="A55" s="8" t="inlineStr"/>
      <c r="B55" s="9" t="inlineStr">
        <is>
          <t>G. CHANNEL MARGINS — OUT OF PHASE 1 SCOPE (D2C-only decision, 2026-09-21). Retained for reference only.</t>
        </is>
      </c>
      <c r="C55" s="8" t="n"/>
      <c r="D55" s="8" t="n"/>
      <c r="E55" s="8" t="n"/>
      <c r="F55" s="8" t="n"/>
      <c r="G55" s="8" t="n"/>
      <c r="H55" s="8" t="n"/>
      <c r="I55" s="8" t="n"/>
      <c r="J55" s="8" t="n"/>
      <c r="K55" s="8" t="n"/>
      <c r="L55" s="8" t="n"/>
      <c r="M55" s="8" t="n"/>
    </row>
    <row r="56" ht="52" customHeight="1">
      <c r="A56" s="10" t="inlineStr">
        <is>
          <t>RM</t>
        </is>
      </c>
      <c r="B56" s="11" t="inlineStr">
        <is>
          <t>UK pharmacy / grocery retailer margin, % of sell price</t>
        </is>
      </c>
      <c r="C56" s="6" t="n">
        <v>0.3</v>
      </c>
      <c r="D56" s="12" t="n">
        <v>0.3</v>
      </c>
      <c r="E56" s="12" t="n">
        <v>0.4</v>
      </c>
      <c r="F56" s="12" t="n">
        <v>0.5</v>
      </c>
      <c r="G56" s="13">
        <f>CHOOSE($C$3,D56,E56,F56)</f>
        <v/>
      </c>
      <c r="H56" s="17" t="inlineStr">
        <is>
          <t>ASSUMPTION</t>
        </is>
      </c>
      <c r="I56" s="11" t="inlineStr">
        <is>
          <t>NOT SOURCED. 40% is the conventional health-and-beauty figure but every retailer domain is blocked by the egress proxy, so it remains my working assumption, unchanged from A-029. Set to zero in every live D2C calculation on sheet 03; shown only in the greyed reference column.</t>
        </is>
      </c>
      <c r="J56" s="11" t="inlineStr"/>
      <c r="K56" s="6" t="inlineStr">
        <is>
          <t>2026-09-22</t>
        </is>
      </c>
      <c r="L56" s="6" t="inlineStr">
        <is>
          <t>low</t>
        </is>
      </c>
      <c r="M56" s="6" t="inlineStr">
        <is>
          <t>A-029</t>
        </is>
      </c>
    </row>
    <row r="57" ht="26" customHeight="1">
      <c r="A57" s="10" t="inlineStr">
        <is>
          <t>DM</t>
        </is>
      </c>
      <c r="B57" s="11" t="inlineStr">
        <is>
          <t>Distributor / wholesaler margin, % of trade price</t>
        </is>
      </c>
      <c r="C57" s="6" t="inlineStr">
        <is>
          <t>%</t>
        </is>
      </c>
      <c r="D57" s="12" t="n">
        <v>0.1</v>
      </c>
      <c r="E57" s="12" t="n">
        <v>0.15</v>
      </c>
      <c r="F57" s="12" t="n">
        <v>0.22</v>
      </c>
      <c r="G57" s="13">
        <f>CHOOSE($C$3,D57,E57,F57)</f>
        <v/>
      </c>
      <c r="H57" s="17" t="inlineStr">
        <is>
          <t>ASSUMPTION</t>
        </is>
      </c>
      <c r="I57" s="11" t="inlineStr">
        <is>
          <t>NOT SOURCED. Applies only if a wholesaler sits between V-Drop and the retailer. Zero under D2C-only.</t>
        </is>
      </c>
      <c r="J57" s="11" t="inlineStr"/>
      <c r="K57" s="6" t="inlineStr">
        <is>
          <t>2026-09-22</t>
        </is>
      </c>
      <c r="L57" s="6" t="inlineStr">
        <is>
          <t>low</t>
        </is>
      </c>
      <c r="M57" s="6" t="inlineStr">
        <is>
          <t>A-029</t>
        </is>
      </c>
    </row>
    <row r="58">
      <c r="A58" s="8" t="inlineStr"/>
      <c r="B58" s="9" t="inlineStr">
        <is>
          <t>H. CUSTOMER ACQUISITION COST  (A-028 — the single biggest gap in the brief, which contains NO CAC line at all)</t>
        </is>
      </c>
      <c r="C58" s="8" t="n"/>
      <c r="D58" s="8" t="n"/>
      <c r="E58" s="8" t="n"/>
      <c r="F58" s="8" t="n"/>
      <c r="G58" s="8" t="n"/>
      <c r="H58" s="8" t="n"/>
      <c r="I58" s="8" t="n"/>
      <c r="J58" s="8" t="n"/>
      <c r="K58" s="8" t="n"/>
      <c r="L58" s="8" t="n"/>
      <c r="M58" s="8" t="n"/>
    </row>
    <row r="59" ht="78" customHeight="1">
      <c r="A59" s="10" t="inlineStr">
        <is>
          <t>CAC_M</t>
        </is>
      </c>
      <c r="B59" s="11" t="inlineStr">
        <is>
          <t>CAC — Meta paid social</t>
        </is>
      </c>
      <c r="C59" s="6" t="inlineStr">
        <is>
          <t>£/customer</t>
        </is>
      </c>
      <c r="D59" s="26" t="n">
        <v>32</v>
      </c>
      <c r="E59" s="26" t="n">
        <v>55</v>
      </c>
      <c r="F59" s="26" t="n">
        <v>95</v>
      </c>
      <c r="G59" s="27">
        <f>CHOOSE($C$3,D59,E59,F59)</f>
        <v/>
      </c>
      <c r="H59" s="17" t="inlineStr">
        <is>
          <t>ASSUMPTION</t>
        </is>
      </c>
      <c r="I59" s="11" t="inlineStr">
        <is>
          <t>DELIBERATELY PESSIMISTIC. Health &amp; wellness carries the HIGHEST median CPM of any Meta vertical, ~$21.80 (up ~19% YoY), with a median CPA of ~$38.55 (= £30.4 at 1.27), because Meta restricts the health advertiser pool. That CPA is a median across established accounts; a cold-start UK brand selling a £20-30 first order in a category with no shelf discovery should expect to sit above it, not at it. Third-party aggregator data, directional only.</t>
        </is>
      </c>
      <c r="J59" s="11" t="inlineStr">
        <is>
          <t>https://influee.co/gb/blog/facebook-ads-benchmarks ; https://www.triplewhale.com/blog/facebook-ads-benchmarks</t>
        </is>
      </c>
      <c r="K59" s="6" t="inlineStr">
        <is>
          <t>2026-09-22</t>
        </is>
      </c>
      <c r="L59" s="6" t="inlineStr">
        <is>
          <t>low</t>
        </is>
      </c>
      <c r="M59" s="6" t="inlineStr">
        <is>
          <t>A-028</t>
        </is>
      </c>
    </row>
    <row r="60" ht="39" customHeight="1">
      <c r="A60" s="10" t="inlineStr">
        <is>
          <t>CAC_G</t>
        </is>
      </c>
      <c r="B60" s="11" t="inlineStr">
        <is>
          <t>CAC — Google paid search (brand + non-brand)</t>
        </is>
      </c>
      <c r="C60" s="6" t="inlineStr">
        <is>
          <t>£/customer</t>
        </is>
      </c>
      <c r="D60" s="26" t="n">
        <v>18</v>
      </c>
      <c r="E60" s="26" t="n">
        <v>30</v>
      </c>
      <c r="F60" s="26" t="n">
        <v>50</v>
      </c>
      <c r="G60" s="27">
        <f>CHOOSE($C$3,D60,E60,F60)</f>
        <v/>
      </c>
      <c r="H60" s="17" t="inlineStr">
        <is>
          <t>ASSUMPTION</t>
        </is>
      </c>
      <c r="I60" s="11" t="inlineStr">
        <is>
          <t>Cheaper per conversion but volume-capped: nobody searches for a product category that does not yet exist. Non-brand terms ('effervescent multivitamin', 'morning vitamin drink') are thin; 'multivitamin' itself is contested by Vitabiotics, H&amp;B and Amazon.</t>
        </is>
      </c>
      <c r="J60" s="11" t="inlineStr"/>
      <c r="K60" s="6" t="inlineStr">
        <is>
          <t>2026-09-22</t>
        </is>
      </c>
      <c r="L60" s="6" t="inlineStr">
        <is>
          <t>low</t>
        </is>
      </c>
      <c r="M60" s="6" t="inlineStr">
        <is>
          <t>A-028</t>
        </is>
      </c>
    </row>
    <row r="61" ht="39" customHeight="1">
      <c r="A61" s="10" t="inlineStr">
        <is>
          <t>CAC_I</t>
        </is>
      </c>
      <c r="B61" s="11" t="inlineStr">
        <is>
          <t>CAC — influencer and affiliate</t>
        </is>
      </c>
      <c r="C61" s="6" t="inlineStr">
        <is>
          <t>£/customer</t>
        </is>
      </c>
      <c r="D61" s="26" t="n">
        <v>28</v>
      </c>
      <c r="E61" s="26" t="n">
        <v>48</v>
      </c>
      <c r="F61" s="26" t="n">
        <v>80</v>
      </c>
      <c r="G61" s="27">
        <f>CHOOSE($C$3,D61,E61,F61)</f>
        <v/>
      </c>
      <c r="H61" s="17" t="inlineStr">
        <is>
          <t>ASSUMPTION</t>
        </is>
      </c>
      <c r="I61" s="11" t="inlineStr">
        <is>
          <t>Taste-led product demos well on video, which argues this channel should be over-weighted. But ASA actively monitors supplement influencer content and every creative is a claims exposure (A-047).</t>
        </is>
      </c>
      <c r="J61" s="11" t="inlineStr"/>
      <c r="K61" s="6" t="inlineStr">
        <is>
          <t>2026-09-22</t>
        </is>
      </c>
      <c r="L61" s="6" t="inlineStr">
        <is>
          <t>low</t>
        </is>
      </c>
      <c r="M61" s="6" t="inlineStr">
        <is>
          <t>A-028, A-047</t>
        </is>
      </c>
    </row>
    <row r="62" ht="15" customHeight="1">
      <c r="A62" s="10" t="inlineStr">
        <is>
          <t>CAC_O</t>
        </is>
      </c>
      <c r="B62" s="11" t="inlineStr">
        <is>
          <t>CAC — organic, referral and earned</t>
        </is>
      </c>
      <c r="C62" s="6" t="inlineStr">
        <is>
          <t>£/customer</t>
        </is>
      </c>
      <c r="D62" s="26" t="n">
        <v>4</v>
      </c>
      <c r="E62" s="26" t="n">
        <v>9</v>
      </c>
      <c r="F62" s="26" t="n">
        <v>18</v>
      </c>
      <c r="G62" s="27">
        <f>CHOOSE($C$3,D62,E62,F62)</f>
        <v/>
      </c>
      <c r="H62" s="17" t="inlineStr">
        <is>
          <t>ASSUMPTION</t>
        </is>
      </c>
      <c r="I62" s="11" t="inlineStr">
        <is>
          <t>Content, SEO and referral cost real money even when the media is free. Not zero.</t>
        </is>
      </c>
      <c r="J62" s="11" t="inlineStr"/>
      <c r="K62" s="6" t="inlineStr">
        <is>
          <t>2026-09-22</t>
        </is>
      </c>
      <c r="L62" s="6" t="inlineStr">
        <is>
          <t>low</t>
        </is>
      </c>
      <c r="M62" s="6" t="inlineStr">
        <is>
          <t>A-028</t>
        </is>
      </c>
    </row>
    <row r="63" ht="15" customHeight="1">
      <c r="A63" s="10" t="inlineStr">
        <is>
          <t>MIX_M</t>
        </is>
      </c>
      <c r="B63" s="11" t="inlineStr">
        <is>
          <t>Channel mix — Meta</t>
        </is>
      </c>
      <c r="C63" s="6" t="inlineStr">
        <is>
          <t>%</t>
        </is>
      </c>
      <c r="D63" s="12" t="n">
        <v>0.55</v>
      </c>
      <c r="E63" s="12" t="n">
        <v>0.55</v>
      </c>
      <c r="F63" s="12" t="n">
        <v>0.55</v>
      </c>
      <c r="G63" s="13">
        <f>CHOOSE($C$3,D63,E63,F63)</f>
        <v/>
      </c>
      <c r="H63" s="17" t="inlineStr">
        <is>
          <t>ASSUMPTION</t>
        </is>
      </c>
      <c r="I63" s="11" t="inlineStr">
        <is>
          <t>Paid social must carry a D2C launch with no retail discovery route.</t>
        </is>
      </c>
      <c r="J63" s="11" t="inlineStr"/>
      <c r="K63" s="6" t="inlineStr">
        <is>
          <t>2026-09-22</t>
        </is>
      </c>
      <c r="L63" s="6" t="inlineStr">
        <is>
          <t>low</t>
        </is>
      </c>
      <c r="M63" s="6" t="inlineStr"/>
    </row>
    <row r="64" ht="15" customHeight="1">
      <c r="A64" s="10" t="inlineStr">
        <is>
          <t>MIX_G</t>
        </is>
      </c>
      <c r="B64" s="11" t="inlineStr">
        <is>
          <t>Channel mix — Google</t>
        </is>
      </c>
      <c r="C64" s="6" t="inlineStr">
        <is>
          <t>%</t>
        </is>
      </c>
      <c r="D64" s="12" t="n">
        <v>0.2</v>
      </c>
      <c r="E64" s="12" t="n">
        <v>0.2</v>
      </c>
      <c r="F64" s="12" t="n">
        <v>0.2</v>
      </c>
      <c r="G64" s="13">
        <f>CHOOSE($C$3,D64,E64,F64)</f>
        <v/>
      </c>
      <c r="H64" s="17" t="inlineStr">
        <is>
          <t>ASSUMPTION</t>
        </is>
      </c>
      <c r="I64" s="11" t="inlineStr"/>
      <c r="J64" s="11" t="inlineStr"/>
      <c r="K64" s="6" t="inlineStr">
        <is>
          <t>2026-09-22</t>
        </is>
      </c>
      <c r="L64" s="6" t="inlineStr">
        <is>
          <t>low</t>
        </is>
      </c>
      <c r="M64" s="6" t="inlineStr"/>
    </row>
    <row r="65" ht="15" customHeight="1">
      <c r="A65" s="10" t="inlineStr">
        <is>
          <t>MIX_I</t>
        </is>
      </c>
      <c r="B65" s="11" t="inlineStr">
        <is>
          <t>Channel mix — influencer / affiliate</t>
        </is>
      </c>
      <c r="C65" s="6" t="inlineStr">
        <is>
          <t>%</t>
        </is>
      </c>
      <c r="D65" s="12" t="n">
        <v>0.15</v>
      </c>
      <c r="E65" s="12" t="n">
        <v>0.15</v>
      </c>
      <c r="F65" s="12" t="n">
        <v>0.15</v>
      </c>
      <c r="G65" s="13">
        <f>CHOOSE($C$3,D65,E65,F65)</f>
        <v/>
      </c>
      <c r="H65" s="17" t="inlineStr">
        <is>
          <t>ASSUMPTION</t>
        </is>
      </c>
      <c r="I65" s="11" t="inlineStr"/>
      <c r="J65" s="11" t="inlineStr"/>
      <c r="K65" s="6" t="inlineStr">
        <is>
          <t>2026-09-22</t>
        </is>
      </c>
      <c r="L65" s="6" t="inlineStr">
        <is>
          <t>low</t>
        </is>
      </c>
      <c r="M65" s="6" t="inlineStr"/>
    </row>
    <row r="66" ht="15" customHeight="1">
      <c r="A66" s="10" t="inlineStr">
        <is>
          <t>MIX_O</t>
        </is>
      </c>
      <c r="B66" s="11" t="inlineStr">
        <is>
          <t>Channel mix — organic / referral</t>
        </is>
      </c>
      <c r="C66" s="6" t="inlineStr">
        <is>
          <t>%</t>
        </is>
      </c>
      <c r="D66" s="12" t="n">
        <v>0.1</v>
      </c>
      <c r="E66" s="12" t="n">
        <v>0.1</v>
      </c>
      <c r="F66" s="12" t="n">
        <v>0.1</v>
      </c>
      <c r="G66" s="13">
        <f>CHOOSE($C$3,D66,E66,F66)</f>
        <v/>
      </c>
      <c r="H66" s="17" t="inlineStr">
        <is>
          <t>ASSUMPTION</t>
        </is>
      </c>
      <c r="I66" s="11" t="inlineStr"/>
      <c r="J66" s="11" t="inlineStr"/>
      <c r="K66" s="6" t="inlineStr">
        <is>
          <t>2026-09-22</t>
        </is>
      </c>
      <c r="L66" s="6" t="inlineStr">
        <is>
          <t>low</t>
        </is>
      </c>
      <c r="M66" s="6" t="inlineStr"/>
    </row>
    <row r="67" ht="26" customHeight="1">
      <c r="A67" s="10" t="inlineStr">
        <is>
          <t>CAC</t>
        </is>
      </c>
      <c r="B67" s="11" t="inlineStr">
        <is>
          <t>BLENDED CAC</t>
        </is>
      </c>
      <c r="C67" s="6" t="inlineStr">
        <is>
          <t>£/customer</t>
        </is>
      </c>
      <c r="D67" s="27">
        <f>D59*D63+D60*D64+D61*D65+D62*D66</f>
        <v/>
      </c>
      <c r="E67" s="27">
        <f>E59*E63+E60*E64+E61*E65+E62*E66</f>
        <v/>
      </c>
      <c r="F67" s="27">
        <f>F59*F63+F60*F64+F61*F65+F62*F66</f>
        <v/>
      </c>
      <c r="G67" s="27">
        <f>CHOOSE($C$3,D67,E67,F67)</f>
        <v/>
      </c>
      <c r="H67" s="21" t="inlineStr">
        <is>
          <t>ESTIMATE</t>
        </is>
      </c>
      <c r="I67" s="11" t="inlineStr">
        <is>
          <t>Mix-weighted. CAC is a net-of-VAT cost (ad spend VAT is recoverable once registered), so it is correctly compared against net contribution, which is what sheet 04 does.</t>
        </is>
      </c>
      <c r="J67" s="11" t="inlineStr"/>
      <c r="K67" s="6" t="inlineStr">
        <is>
          <t>2026-09-22</t>
        </is>
      </c>
      <c r="L67" s="6" t="inlineStr">
        <is>
          <t>low</t>
        </is>
      </c>
      <c r="M67" s="6" t="inlineStr">
        <is>
          <t>A-028</t>
        </is>
      </c>
    </row>
    <row r="68">
      <c r="A68" s="8" t="inlineStr"/>
      <c r="B68" s="9" t="inlineStr">
        <is>
          <t>I. RETENTION</t>
        </is>
      </c>
      <c r="C68" s="8" t="n"/>
      <c r="D68" s="8" t="n"/>
      <c r="E68" s="8" t="n"/>
      <c r="F68" s="8" t="n"/>
      <c r="G68" s="8" t="n"/>
      <c r="H68" s="8" t="n"/>
      <c r="I68" s="8" t="n"/>
      <c r="J68" s="8" t="n"/>
      <c r="K68" s="8" t="n"/>
      <c r="L68" s="8" t="n"/>
      <c r="M68" s="8" t="n"/>
    </row>
    <row r="69" ht="52" customHeight="1">
      <c r="A69" s="10" t="inlineStr">
        <is>
          <t>CHURN</t>
        </is>
      </c>
      <c r="B69" s="11" t="inlineStr">
        <is>
          <t>Monthly churn, steady state</t>
        </is>
      </c>
      <c r="C69" s="6" t="inlineStr">
        <is>
          <t>%/month</t>
        </is>
      </c>
      <c r="D69" s="29" t="n">
        <v>0.06</v>
      </c>
      <c r="E69" s="29" t="n">
        <v>0.1</v>
      </c>
      <c r="F69" s="29" t="n">
        <v>0.15</v>
      </c>
      <c r="G69" s="30">
        <f>CHOOSE($C$3,D69,E69,F69)</f>
        <v/>
      </c>
      <c r="H69" s="21" t="inlineStr">
        <is>
          <t>ESTIMATE</t>
        </is>
      </c>
      <c r="I69" s="11" t="inlineStr">
        <is>
          <t>Benchmarks put typical DTC supplement subscription churn at 5-8%/month and SINGLE-PRODUCT subscriptions at 8-15%/month. V-Drop is by design a single-product subscription (three products maximum, one ritual), so the 8-15% band is the right one and the base case sits inside it.</t>
        </is>
      </c>
      <c r="J69" s="11" t="inlineStr">
        <is>
          <t>https://eightx.co/blog/supplement-subscription-churn-rate-benchmark ; https://blog.jericommerce.com/resources/supplement-vitamin-brands-retention-statistics</t>
        </is>
      </c>
      <c r="K69" s="6" t="inlineStr">
        <is>
          <t>2026-09-22</t>
        </is>
      </c>
      <c r="L69" s="6" t="inlineStr">
        <is>
          <t>low-med</t>
        </is>
      </c>
      <c r="M69" s="6" t="inlineStr">
        <is>
          <t>A-014</t>
        </is>
      </c>
    </row>
    <row r="70" ht="52" customHeight="1">
      <c r="A70" s="10" t="inlineStr">
        <is>
          <t>DROP1</t>
        </is>
      </c>
      <c r="B70" s="11" t="inlineStr">
        <is>
          <t>Extra drop-off before the FIRST refill</t>
        </is>
      </c>
      <c r="C70" s="6" t="inlineStr">
        <is>
          <t>% of starters</t>
        </is>
      </c>
      <c r="D70" s="29" t="n">
        <v>0.1</v>
      </c>
      <c r="E70" s="29" t="n">
        <v>0.18</v>
      </c>
      <c r="F70" s="29" t="n">
        <v>0.28</v>
      </c>
      <c r="G70" s="30">
        <f>CHOOSE($C$3,D70,E70,F70)</f>
        <v/>
      </c>
      <c r="H70" s="17" t="inlineStr">
        <is>
          <t>ASSUMPTION</t>
        </is>
      </c>
      <c r="I70" s="11" t="inlineStr">
        <is>
          <t>Most supplement subscription churn happens in months 1-3, and subscribers who perceive no benefit churn at 2-3x the later-tenure rate. A taste-led product should do BETTER than the benchmark here if the taste delivers — and far worse if it does not. This cell is where the whole strategy is tested.</t>
        </is>
      </c>
      <c r="J70" s="11" t="inlineStr"/>
      <c r="K70" s="6" t="inlineStr">
        <is>
          <t>2026-09-22</t>
        </is>
      </c>
      <c r="L70" s="6" t="inlineStr">
        <is>
          <t>low</t>
        </is>
      </c>
      <c r="M70" s="6" t="inlineStr">
        <is>
          <t>A-014</t>
        </is>
      </c>
    </row>
    <row r="71" ht="26" customHeight="1">
      <c r="A71" s="10" t="inlineStr">
        <is>
          <t>INVOL</t>
        </is>
      </c>
      <c r="B71" s="11" t="inlineStr">
        <is>
          <t>Involuntary churn (failed cards), added to monthly churn</t>
        </is>
      </c>
      <c r="C71" s="6" t="inlineStr">
        <is>
          <t>pp/month</t>
        </is>
      </c>
      <c r="D71" s="29" t="n">
        <v>0.005</v>
      </c>
      <c r="E71" s="29" t="n">
        <v>0.01</v>
      </c>
      <c r="F71" s="29" t="n">
        <v>0.02</v>
      </c>
      <c r="G71" s="30">
        <f>CHOOSE($C$3,D71,E71,F71)</f>
        <v/>
      </c>
      <c r="H71" s="17" t="inlineStr">
        <is>
          <t>ASSUMPTION</t>
        </is>
      </c>
      <c r="I71" s="11" t="inlineStr">
        <is>
          <t>Card expiry and insufficient funds. Dunning recovers some of it; this is the residual.</t>
        </is>
      </c>
      <c r="J71" s="11" t="inlineStr"/>
      <c r="K71" s="6" t="inlineStr">
        <is>
          <t>2026-09-22</t>
        </is>
      </c>
      <c r="L71" s="6" t="inlineStr">
        <is>
          <t>low</t>
        </is>
      </c>
      <c r="M71" s="6" t="inlineStr"/>
    </row>
    <row r="72" ht="15" customHeight="1">
      <c r="A72" s="10" t="inlineStr">
        <is>
          <t>CHURN_T</t>
        </is>
      </c>
      <c r="B72" s="11" t="inlineStr">
        <is>
          <t>TOTAL MONTHLY CHURN</t>
        </is>
      </c>
      <c r="C72" s="6" t="inlineStr">
        <is>
          <t>%/month</t>
        </is>
      </c>
      <c r="D72" s="30">
        <f>D69+D71</f>
        <v/>
      </c>
      <c r="E72" s="30">
        <f>E69+E71</f>
        <v/>
      </c>
      <c r="F72" s="30">
        <f>F69+F71</f>
        <v/>
      </c>
      <c r="G72" s="30">
        <f>CHOOSE($C$3,D72,E72,F72)</f>
        <v/>
      </c>
      <c r="H72" s="21" t="inlineStr">
        <is>
          <t>ESTIMATE</t>
        </is>
      </c>
      <c r="I72" s="11" t="inlineStr">
        <is>
          <t>Voluntary plus involuntary.</t>
        </is>
      </c>
      <c r="J72" s="11" t="inlineStr"/>
      <c r="K72" s="6" t="inlineStr">
        <is>
          <t>2026-09-22</t>
        </is>
      </c>
      <c r="L72" s="6" t="inlineStr">
        <is>
          <t>low</t>
        </is>
      </c>
      <c r="M72" s="6" t="inlineStr"/>
    </row>
    <row r="73">
      <c r="A73" s="8" t="inlineStr"/>
      <c r="B73" s="9" t="inlineStr">
        <is>
          <t>J. PRICES — base architecture A1 ('the brief, corrected'). Other architectures are priced on sheet 07.</t>
        </is>
      </c>
      <c r="C73" s="8" t="n"/>
      <c r="D73" s="8" t="n"/>
      <c r="E73" s="8" t="n"/>
      <c r="F73" s="8" t="n"/>
      <c r="G73" s="8" t="n"/>
      <c r="H73" s="8" t="n"/>
      <c r="I73" s="8" t="n"/>
      <c r="J73" s="8" t="n"/>
      <c r="K73" s="8" t="n"/>
      <c r="L73" s="8" t="n"/>
      <c r="M73" s="8" t="n"/>
    </row>
    <row r="74" ht="26" customHeight="1">
      <c r="A74" s="10" t="inlineStr">
        <is>
          <t>PR_SK</t>
        </is>
      </c>
      <c r="B74" s="11" t="inlineStr">
        <is>
          <t>Starter kit including case — list RRP inc VAT</t>
        </is>
      </c>
      <c r="C74" s="6" t="inlineStr">
        <is>
          <t>£</t>
        </is>
      </c>
      <c r="D74" s="26" t="n">
        <v>29.99</v>
      </c>
      <c r="E74" s="26" t="n">
        <v>29.99</v>
      </c>
      <c r="F74" s="26" t="n">
        <v>29.99</v>
      </c>
      <c r="G74" s="27">
        <f>CHOOSE($C$3,D74,E74,F74)</f>
        <v/>
      </c>
      <c r="H74" s="17" t="inlineStr">
        <is>
          <t>ASSUMPTION</t>
        </is>
      </c>
      <c r="I74" s="11" t="inlineStr">
        <is>
          <t>The brief's price, retained for architecture A1. Net of VAT it is £24.99, not £29.99 (A-001). The brief's '80-82% gross margin' was computed on the VAT-inclusive price.</t>
        </is>
      </c>
      <c r="J74" s="11" t="inlineStr"/>
      <c r="K74" s="6" t="inlineStr">
        <is>
          <t>2026-09-22</t>
        </is>
      </c>
      <c r="L74" s="6" t="inlineStr">
        <is>
          <t>n/a</t>
        </is>
      </c>
      <c r="M74" s="6" t="inlineStr">
        <is>
          <t>A-001</t>
        </is>
      </c>
    </row>
    <row r="75" ht="26" customHeight="1">
      <c r="A75" s="10" t="inlineStr">
        <is>
          <t>PR_SKN</t>
        </is>
      </c>
      <c r="B75" s="11" t="inlineStr">
        <is>
          <t>Starter kit WITHOUT case — list RRP inc VAT</t>
        </is>
      </c>
      <c r="C75" s="6" t="inlineStr">
        <is>
          <t>£</t>
        </is>
      </c>
      <c r="D75" s="26" t="n">
        <v>19.99</v>
      </c>
      <c r="E75" s="26" t="n">
        <v>19.99</v>
      </c>
      <c r="F75" s="26" t="n">
        <v>19.99</v>
      </c>
      <c r="G75" s="27">
        <f>CHOOSE($C$3,D75,E75,F75)</f>
        <v/>
      </c>
      <c r="H75" s="17" t="inlineStr">
        <is>
          <t>ASSUMPTION</t>
        </is>
      </c>
      <c r="I75" s="11" t="inlineStr">
        <is>
          <t>The same 30 blistered tablets with no hardware. Lets the user see exactly what including the case costs at the moment of first purchase (A-025).</t>
        </is>
      </c>
      <c r="J75" s="11" t="inlineStr"/>
      <c r="K75" s="6" t="inlineStr">
        <is>
          <t>2026-09-22</t>
        </is>
      </c>
      <c r="L75" s="6" t="inlineStr">
        <is>
          <t>n/a</t>
        </is>
      </c>
      <c r="M75" s="6" t="inlineStr">
        <is>
          <t>A-025</t>
        </is>
      </c>
    </row>
    <row r="76" ht="65" customHeight="1">
      <c r="A76" s="10" t="inlineStr">
        <is>
          <t>PR_SUB</t>
        </is>
      </c>
      <c r="B76" s="11" t="inlineStr">
        <is>
          <t>Monthly subscription refill (30 tablets) — list RRP inc VAT</t>
        </is>
      </c>
      <c r="C76" s="6" t="inlineStr">
        <is>
          <t>£</t>
        </is>
      </c>
      <c r="D76" s="26" t="n">
        <v>19.99</v>
      </c>
      <c r="E76" s="26" t="n">
        <v>19.99</v>
      </c>
      <c r="F76" s="26" t="n">
        <v>19.99</v>
      </c>
      <c r="G76" s="27">
        <f>CHOOSE($C$3,D76,E76,F76)</f>
        <v/>
      </c>
      <c r="H76" s="17" t="inlineStr">
        <is>
          <t>ASSUMPTION</t>
        </is>
      </c>
      <c r="I76" s="11" t="inlineStr">
        <is>
          <t>The brief's price. Net of VAT it is £16.66 (A-002). NOTE A-027: half of UK consumers spend under £40/month on subscriptions IN TOTAL, so £19.99 is roughly 30-50% of the median subscriber's entire subscription budget. That is a real constraint from above and it is stronger evidence than the brief's invented '£20 bank audit threshold' (A-013 limb 2, DISPROVED — do not use).</t>
        </is>
      </c>
      <c r="J76" s="11" t="inlineStr">
        <is>
          <t>https://www.aquacard.co.uk/building-better-credit/subscription-spending-in-2025</t>
        </is>
      </c>
      <c r="K76" s="6" t="inlineStr">
        <is>
          <t>2026-09-22</t>
        </is>
      </c>
      <c r="L76" s="6" t="inlineStr">
        <is>
          <t>n/a</t>
        </is>
      </c>
      <c r="M76" s="6" t="inlineStr">
        <is>
          <t>A-002, A-027, A-013</t>
        </is>
      </c>
    </row>
    <row r="77" ht="39" customHeight="1">
      <c r="A77" s="10" t="inlineStr">
        <is>
          <t>PR_ONE</t>
        </is>
      </c>
      <c r="B77" s="11" t="inlineStr">
        <is>
          <t>One-off refill (30 tablets), non-subscriber — list RRP inc VAT</t>
        </is>
      </c>
      <c r="C77" s="6" t="inlineStr">
        <is>
          <t>£</t>
        </is>
      </c>
      <c r="D77" s="26" t="n">
        <v>24.99</v>
      </c>
      <c r="E77" s="26" t="n">
        <v>24.99</v>
      </c>
      <c r="F77" s="26" t="n">
        <v>24.99</v>
      </c>
      <c r="G77" s="27">
        <f>CHOOSE($C$3,D77,E77,F77)</f>
        <v/>
      </c>
      <c r="H77" s="17" t="inlineStr">
        <is>
          <t>ASSUMPTION</t>
        </is>
      </c>
      <c r="I77" s="11" t="inlineStr">
        <is>
          <t>Must sit ABOVE the subscription per serving or there is no reason to subscribe. 25% premium. The brief had the opposite structure (retail undercut subscription by 44% — A-003).</t>
        </is>
      </c>
      <c r="J77" s="11" t="inlineStr"/>
      <c r="K77" s="6" t="inlineStr">
        <is>
          <t>2026-09-22</t>
        </is>
      </c>
      <c r="L77" s="6" t="inlineStr">
        <is>
          <t>n/a</t>
        </is>
      </c>
      <c r="M77" s="6" t="inlineStr">
        <is>
          <t>A-003</t>
        </is>
      </c>
    </row>
    <row r="78" ht="39" customHeight="1">
      <c r="A78" s="10" t="inlineStr">
        <is>
          <t>PR_QTR</t>
        </is>
      </c>
      <c r="B78" s="11" t="inlineStr">
        <is>
          <t>Quarterly prepay (90 tablets) — list RRP inc VAT</t>
        </is>
      </c>
      <c r="C78" s="6" t="inlineStr">
        <is>
          <t>£</t>
        </is>
      </c>
      <c r="D78" s="26" t="n">
        <v>54.99</v>
      </c>
      <c r="E78" s="26" t="n">
        <v>54.99</v>
      </c>
      <c r="F78" s="26" t="n">
        <v>54.99</v>
      </c>
      <c r="G78" s="27">
        <f>CHOOSE($C$3,D78,E78,F78)</f>
        <v/>
      </c>
      <c r="H78" s="17" t="inlineStr">
        <is>
          <t>ASSUMPTION</t>
        </is>
      </c>
      <c r="I78" s="11" t="inlineStr">
        <is>
          <t>£18.33/month effective, a 8.3% saving on monthly. Pulls three months of cash forward, removes two fulfilment events, two postage charges and two payment fees, and removes two cancellation decision points.</t>
        </is>
      </c>
      <c r="J78" s="11" t="inlineStr"/>
      <c r="K78" s="6" t="inlineStr">
        <is>
          <t>2026-09-22</t>
        </is>
      </c>
      <c r="L78" s="6" t="inlineStr">
        <is>
          <t>n/a</t>
        </is>
      </c>
      <c r="M78" s="6" t="inlineStr"/>
    </row>
    <row r="79" ht="39" customHeight="1">
      <c r="A79" s="10" t="inlineStr">
        <is>
          <t>PR_RET</t>
        </is>
      </c>
      <c r="B79" s="11" t="inlineStr">
        <is>
          <t>Retail tube (15 tablets) — RRP inc VAT. OUT OF SCOPE, reference only</t>
        </is>
      </c>
      <c r="C79" s="6" t="inlineStr">
        <is>
          <t>£</t>
        </is>
      </c>
      <c r="D79" s="26" t="n">
        <v>6.99</v>
      </c>
      <c r="E79" s="26" t="n">
        <v>6.99</v>
      </c>
      <c r="F79" s="26" t="n">
        <v>6.99</v>
      </c>
      <c r="G79" s="27">
        <f>CHOOSE($C$3,D79,E79,F79)</f>
        <v/>
      </c>
      <c r="H79" s="17" t="inlineStr">
        <is>
          <t>ASSUMPTION</t>
        </is>
      </c>
      <c r="I79" s="11" t="inlineStr">
        <is>
          <t>The brief's retail price. Retained solely so sheet 05 can show what the abandoned architecture did: £6.99/15 = £0.466/serving against a £0.833/serving subscription, a 44.1% inversion. Under D2C-only this is moot (A-003 superseded for Phase 1).</t>
        </is>
      </c>
      <c r="J79" s="11" t="inlineStr"/>
      <c r="K79" s="6" t="inlineStr">
        <is>
          <t>2026-09-22</t>
        </is>
      </c>
      <c r="L79" s="6" t="inlineStr">
        <is>
          <t>n/a</t>
        </is>
      </c>
      <c r="M79" s="6" t="inlineStr">
        <is>
          <t>A-003</t>
        </is>
      </c>
    </row>
    <row r="80" ht="15" customHeight="1">
      <c r="A80" s="10" t="inlineStr">
        <is>
          <t>PR_RETN</t>
        </is>
      </c>
      <c r="B80" s="11" t="inlineStr">
        <is>
          <t>Retail tube servings per pack</t>
        </is>
      </c>
      <c r="C80" s="6" t="inlineStr">
        <is>
          <t>tablets</t>
        </is>
      </c>
      <c r="D80" s="19" t="n">
        <v>15</v>
      </c>
      <c r="E80" s="19" t="n">
        <v>15</v>
      </c>
      <c r="F80" s="19" t="n">
        <v>15</v>
      </c>
      <c r="G80" s="20">
        <f>CHOOSE($C$3,D80,E80,F80)</f>
        <v/>
      </c>
      <c r="H80" s="17" t="inlineStr">
        <is>
          <t>ASSUMPTION</t>
        </is>
      </c>
      <c r="I80" s="11" t="inlineStr"/>
      <c r="J80" s="11" t="inlineStr"/>
      <c r="K80" s="6" t="inlineStr">
        <is>
          <t>2026-09-22</t>
        </is>
      </c>
      <c r="L80" s="6" t="inlineStr">
        <is>
          <t>n/a</t>
        </is>
      </c>
      <c r="M80" s="6" t="inlineStr">
        <is>
          <t>A-003</t>
        </is>
      </c>
    </row>
    <row r="81">
      <c r="A81" s="8" t="inlineStr"/>
      <c r="B81" s="9" t="inlineStr">
        <is>
          <t>K. LAUNCH CAPITAL AND THE SHARED-BASE ARCHITECTURE  (three products, one vitamin and mineral base)</t>
        </is>
      </c>
      <c r="C81" s="8" t="n"/>
      <c r="D81" s="8" t="n"/>
      <c r="E81" s="8" t="n"/>
      <c r="F81" s="8" t="n"/>
      <c r="G81" s="8" t="n"/>
      <c r="H81" s="8" t="n"/>
      <c r="I81" s="8" t="n"/>
      <c r="J81" s="8" t="n"/>
      <c r="K81" s="8" t="n"/>
      <c r="L81" s="8" t="n"/>
      <c r="M81" s="8" t="n"/>
    </row>
    <row r="82" ht="39" customHeight="1">
      <c r="A82" s="10" t="inlineStr">
        <is>
          <t>NPD_BASE</t>
        </is>
      </c>
      <c r="B82" s="11" t="inlineStr">
        <is>
          <t>Formulation, sensory development and stability — the SHARED base blend</t>
        </is>
      </c>
      <c r="C82" s="6" t="inlineStr">
        <is>
          <t>£</t>
        </is>
      </c>
      <c r="D82" s="26" t="n">
        <v>8000</v>
      </c>
      <c r="E82" s="26" t="n">
        <v>16000</v>
      </c>
      <c r="F82" s="26" t="n">
        <v>32000</v>
      </c>
      <c r="G82" s="27">
        <f>CHOOSE($C$3,D82,E82,F82)</f>
        <v/>
      </c>
      <c r="H82" s="17" t="inlineStr">
        <is>
          <t>ASSUMPTION</t>
        </is>
      </c>
      <c r="I82" s="11" t="inlineStr">
        <is>
          <t>One vitamin and mineral base carrying the premium flavour system, developed once. Taste iteration is the expensive part and it is where the money SHOULD go under the differentiator decision. No quote obtained.</t>
        </is>
      </c>
      <c r="J82" s="11" t="inlineStr"/>
      <c r="K82" s="6" t="inlineStr">
        <is>
          <t>2026-09-22</t>
        </is>
      </c>
      <c r="L82" s="6" t="inlineStr">
        <is>
          <t>low</t>
        </is>
      </c>
      <c r="M82" s="6" t="inlineStr"/>
    </row>
    <row r="83" ht="26" customHeight="1">
      <c r="A83" s="10" t="inlineStr">
        <is>
          <t>NPD_LAYER</t>
        </is>
      </c>
      <c r="B83" s="11" t="inlineStr">
        <is>
          <t>Formulation and stability — each differentiating layer on top of the base</t>
        </is>
      </c>
      <c r="C83" s="6" t="inlineStr">
        <is>
          <t>£</t>
        </is>
      </c>
      <c r="D83" s="26" t="n">
        <v>2500</v>
      </c>
      <c r="E83" s="26" t="n">
        <v>5000</v>
      </c>
      <c r="F83" s="26" t="n">
        <v>10000</v>
      </c>
      <c r="G83" s="27">
        <f>CHOOSE($C$3,D83,E83,F83)</f>
        <v/>
      </c>
      <c r="H83" s="17" t="inlineStr">
        <is>
          <t>ASSUMPTION</t>
        </is>
      </c>
      <c r="I83" s="11" t="inlineStr">
        <is>
          <t>A layer is a small delta on a proven base: new actives, a flavour variant, a fresh stability run. Costed at roughly 30% of a full formulation.</t>
        </is>
      </c>
      <c r="J83" s="11" t="inlineStr"/>
      <c r="K83" s="6" t="inlineStr">
        <is>
          <t>2026-09-22</t>
        </is>
      </c>
      <c r="L83" s="6" t="inlineStr">
        <is>
          <t>low</t>
        </is>
      </c>
      <c r="M83" s="6" t="inlineStr"/>
    </row>
    <row r="84" ht="26" customHeight="1">
      <c r="A84" s="10" t="inlineStr">
        <is>
          <t>NSKU</t>
        </is>
      </c>
      <c r="B84" s="11" t="inlineStr">
        <is>
          <t>Number of products at launch</t>
        </is>
      </c>
      <c r="C84" s="6" t="inlineStr">
        <is>
          <t>SKUs</t>
        </is>
      </c>
      <c r="D84" s="19" t="n">
        <v>3</v>
      </c>
      <c r="E84" s="19" t="n">
        <v>3</v>
      </c>
      <c r="F84" s="19" t="n">
        <v>3</v>
      </c>
      <c r="G84" s="20">
        <f>CHOOSE($C$3,D84,E84,F84)</f>
        <v/>
      </c>
      <c r="H84" s="17" t="inlineStr">
        <is>
          <t>ASSUMPTION</t>
        </is>
      </c>
      <c r="I84" s="11" t="inlineStr">
        <is>
          <t>Range capped at three by the decision of 2026-09-22. All three share one vitamin and mineral base.</t>
        </is>
      </c>
      <c r="J84" s="11" t="inlineStr"/>
      <c r="K84" s="6" t="inlineStr">
        <is>
          <t>2026-09-22</t>
        </is>
      </c>
      <c r="L84" s="6" t="inlineStr">
        <is>
          <t>n/a</t>
        </is>
      </c>
      <c r="M84" s="6" t="inlineStr"/>
    </row>
    <row r="85" ht="15" customHeight="1">
      <c r="A85" s="10" t="inlineStr">
        <is>
          <t>NPD_TOT</t>
        </is>
      </c>
      <c r="B85" s="11" t="inlineStr">
        <is>
          <t>TOTAL FORMULATION COST — shared-base architecture</t>
        </is>
      </c>
      <c r="C85" s="6" t="inlineStr">
        <is>
          <t>£</t>
        </is>
      </c>
      <c r="D85" s="27">
        <f>D82+D83*D84</f>
        <v/>
      </c>
      <c r="E85" s="27">
        <f>E82+E83*E84</f>
        <v/>
      </c>
      <c r="F85" s="27">
        <f>F82+F83*F84</f>
        <v/>
      </c>
      <c r="G85" s="27">
        <f>CHOOSE($C$3,D85,E85,F85)</f>
        <v/>
      </c>
      <c r="H85" s="21" t="inlineStr">
        <is>
          <t>ESTIMATE</t>
        </is>
      </c>
      <c r="I85" s="11" t="inlineStr">
        <is>
          <t>Shared base plus three layers.</t>
        </is>
      </c>
      <c r="J85" s="11" t="inlineStr"/>
      <c r="K85" s="6" t="inlineStr">
        <is>
          <t>2026-09-22</t>
        </is>
      </c>
      <c r="L85" s="6" t="inlineStr">
        <is>
          <t>low</t>
        </is>
      </c>
      <c r="M85" s="6" t="inlineStr"/>
    </row>
    <row r="86" ht="26" customHeight="1">
      <c r="A86" s="10" t="inlineStr">
        <is>
          <t>NPD_TRIP</t>
        </is>
      </c>
      <c r="B86" s="11" t="inlineStr">
        <is>
          <t>Memo: TOTAL FORMULATION COST if the three SKUs were formulated independently</t>
        </is>
      </c>
      <c r="C86" s="6" t="inlineStr">
        <is>
          <t>£</t>
        </is>
      </c>
      <c r="D86" s="27">
        <f>D82*D84</f>
        <v/>
      </c>
      <c r="E86" s="27">
        <f>E82*E84</f>
        <v/>
      </c>
      <c r="F86" s="27">
        <f>F82*F84</f>
        <v/>
      </c>
      <c r="G86" s="27">
        <f>CHOOSE($C$3,D86,E86,F86)</f>
        <v/>
      </c>
      <c r="H86" s="21" t="inlineStr">
        <is>
          <t>ESTIMATE</t>
        </is>
      </c>
      <c r="I86" s="11" t="inlineStr">
        <is>
          <t>The counterfactual. The gap between this row and the one above is what the shared-base architecture is worth in NPD alone — before the MOQ effect below, which is larger.</t>
        </is>
      </c>
      <c r="J86" s="11" t="inlineStr"/>
      <c r="K86" s="6" t="inlineStr">
        <is>
          <t>2026-09-22</t>
        </is>
      </c>
      <c r="L86" s="6" t="inlineStr">
        <is>
          <t>low</t>
        </is>
      </c>
      <c r="M86" s="6" t="inlineStr"/>
    </row>
    <row r="87" ht="52" customHeight="1">
      <c r="A87" s="10" t="inlineStr">
        <is>
          <t>MOQ</t>
        </is>
      </c>
      <c r="B87" s="11" t="inlineStr">
        <is>
          <t>Manufacturer MOQ per distinct blend</t>
        </is>
      </c>
      <c r="C87" s="6" t="inlineStr">
        <is>
          <t>tablets</t>
        </is>
      </c>
      <c r="D87" s="31" t="n">
        <v>60000</v>
      </c>
      <c r="E87" s="31" t="n">
        <v>100000</v>
      </c>
      <c r="F87" s="31" t="n">
        <v>150000</v>
      </c>
      <c r="G87" s="32">
        <f>CHOOSE($C$3,D87,E87,F87)</f>
        <v/>
      </c>
      <c r="H87" s="21" t="inlineStr">
        <is>
          <t>ESTIMATE</t>
        </is>
      </c>
      <c r="I87" s="11" t="inlineStr">
        <is>
          <t>Effervescent MOQs of ~100,000 tablets are quoted by contract manufacturers. THIS IS THE REAL PRIZE IN THE SHARED-BASE ARCHITECTURE: one MOQ on the base blend instead of three, because the differentiating layer is a smaller sub-run, not a separate product.</t>
        </is>
      </c>
      <c r="J87" s="11" t="inlineStr">
        <is>
          <t>https://prosafenutra.com/tablet-manufacturing/ ; https://www.lebenformulation.com/blog/effervescent-tablet-formulation-contract-manufacturing</t>
        </is>
      </c>
      <c r="K87" s="6" t="inlineStr">
        <is>
          <t>2026-09-22</t>
        </is>
      </c>
      <c r="L87" s="6" t="inlineStr">
        <is>
          <t>low</t>
        </is>
      </c>
      <c r="M87" s="6" t="inlineStr"/>
    </row>
    <row r="88" ht="39" customHeight="1">
      <c r="A88" s="10" t="inlineStr">
        <is>
          <t>MOQ_LAYER</t>
        </is>
      </c>
      <c r="B88" s="11" t="inlineStr">
        <is>
          <t>Additional MOQ per differentiating layer</t>
        </is>
      </c>
      <c r="C88" s="6" t="inlineStr">
        <is>
          <t>tablets</t>
        </is>
      </c>
      <c r="D88" s="31" t="n">
        <v>15000</v>
      </c>
      <c r="E88" s="31" t="n">
        <v>25000</v>
      </c>
      <c r="F88" s="31" t="n">
        <v>40000</v>
      </c>
      <c r="G88" s="32">
        <f>CHOOSE($C$3,D88,E88,F88)</f>
        <v/>
      </c>
      <c r="H88" s="17" t="inlineStr">
        <is>
          <t>ASSUMPTION</t>
        </is>
      </c>
      <c r="I88" s="11" t="inlineStr">
        <is>
          <t>A short run off the shared base. If the manufacturer will not do this, the shared-base saving evaporates and the answer is to launch ONE product, not three. ASK THIS QUESTION IN THE FIRST MANUFACTURER CALL.</t>
        </is>
      </c>
      <c r="J88" s="11" t="inlineStr"/>
      <c r="K88" s="6" t="inlineStr">
        <is>
          <t>2026-09-22</t>
        </is>
      </c>
      <c r="L88" s="6" t="inlineStr">
        <is>
          <t>low</t>
        </is>
      </c>
      <c r="M88" s="6" t="inlineStr"/>
    </row>
    <row r="89" ht="52" customHeight="1">
      <c r="A89" s="10" t="inlineStr">
        <is>
          <t>CAFF_ONEOFF</t>
        </is>
      </c>
      <c r="B89" s="11" t="inlineStr">
        <is>
          <t>Memo: one-off compliance cost AVOIDED by going caffeine-free</t>
        </is>
      </c>
      <c r="C89" s="6" t="inlineStr">
        <is>
          <t>£</t>
        </is>
      </c>
      <c r="D89" s="27">
        <f>3000*$C$7</f>
        <v/>
      </c>
      <c r="E89" s="27">
        <f>7500*$C$7</f>
        <v/>
      </c>
      <c r="F89" s="27">
        <f>15000*$C$7</f>
        <v/>
      </c>
      <c r="G89" s="27">
        <f>CHOOSE($C$3,D89,E89,F89)</f>
        <v/>
      </c>
      <c r="H89" s="17" t="inlineStr">
        <is>
          <t>ASSUMPTION</t>
        </is>
      </c>
      <c r="I89" s="11" t="inlineStr">
        <is>
          <t>Regulatory review of the &gt;150 mg/L position, FIC Annex III warning copy through artwork, an age-gate at the checkout, and the standing risk of a £2,500-per-breach enforcement regime from April 2027. Zero under the caffeine-free decision. Not a unit cost — a workstream that no longer exists.</t>
        </is>
      </c>
      <c r="J89" s="11" t="inlineStr"/>
      <c r="K89" s="6" t="inlineStr">
        <is>
          <t>2026-09-22</t>
        </is>
      </c>
      <c r="L89" s="6" t="inlineStr">
        <is>
          <t>low</t>
        </is>
      </c>
      <c r="M89" s="6" t="inlineStr">
        <is>
          <t>A-024</t>
        </is>
      </c>
    </row>
    <row r="90" ht="52" customHeight="1">
      <c r="A90" s="10" t="inlineStr">
        <is>
          <t>REALF</t>
        </is>
      </c>
      <c r="B90" s="11" t="inlineStr">
        <is>
          <t>Realised revenue factor (promotions, intro discounts, mix)</t>
        </is>
      </c>
      <c r="C90" s="6" t="inlineStr">
        <is>
          <t>x</t>
        </is>
      </c>
      <c r="D90" s="15" t="n">
        <v>0.85</v>
      </c>
      <c r="E90" s="15" t="n">
        <v>0.93</v>
      </c>
      <c r="F90" s="15" t="n">
        <v>0.99</v>
      </c>
      <c r="G90" s="16">
        <f>CHOOSE($C$3,D90,E90,F90)</f>
        <v/>
      </c>
      <c r="H90" s="21" t="inlineStr">
        <is>
          <t>ESTIMATE</t>
        </is>
      </c>
      <c r="I90" s="11" t="inlineStr">
        <is>
          <t>Nobody realises list price. Welcome offers, win-back discounts, referral credits and loyalty tiers all leak. Vitabiotics runs 20% off orders 1-2 rising to 30% from order 6 — a deepening tenure discount is the category norm and it is a permanent revenue leak, not a promotion. Base 0.93 is optimistic against that benchmark.</t>
        </is>
      </c>
      <c r="J90" s="11" t="inlineStr">
        <is>
          <t>https://www.vitabiotics.com/pages/subscribe</t>
        </is>
      </c>
      <c r="K90" s="6" t="inlineStr">
        <is>
          <t>2026-09-22</t>
        </is>
      </c>
      <c r="L90" s="6" t="inlineStr">
        <is>
          <t>low</t>
        </is>
      </c>
      <c r="M90" s="6" t="inlineStr">
        <is>
          <t>A-036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4"/>
  <sheetViews>
    <sheetView showGridLines="0" workbookViewId="0">
      <pane ySplit="7" topLeftCell="A8" activePane="bottomLeft" state="frozen"/>
      <selection pane="bottomLeft" activeCell="A1" sqref="A1"/>
    </sheetView>
  </sheetViews>
  <sheetFormatPr baseColWidth="8" defaultRowHeight="15"/>
  <cols>
    <col width="26" customWidth="1" min="1" max="1"/>
    <col width="40" customWidth="1" min="2" max="2"/>
    <col width="26" customWidth="1" min="3" max="3"/>
    <col width="14" customWidth="1" min="4" max="4"/>
    <col width="10" customWidth="1" min="5" max="5"/>
    <col width="11" customWidth="1" min="6" max="6"/>
    <col width="12" customWidth="1" min="7" max="7"/>
    <col width="12" customWidth="1" min="8" max="8"/>
    <col width="7" customWidth="1" min="9" max="9"/>
    <col width="7" customWidth="1" min="10" max="10"/>
    <col width="11" customWidth="1" min="11" max="11"/>
    <col width="11" customWidth="1" min="12" max="12"/>
    <col width="58" customWidth="1" min="13" max="13"/>
    <col width="11" customWidth="1" min="14" max="14"/>
    <col width="14" customWidth="1" min="15" max="15"/>
  </cols>
  <sheetData>
    <row r="1">
      <c r="A1" s="1" t="inlineStr">
        <is>
          <t>02 COMPETITOR PRICE LADDER — and the question of WHICH ladder</t>
        </is>
      </c>
    </row>
    <row r="2" ht="45" customHeight="1">
      <c r="A2" s="2" t="inlineStr">
        <is>
          <t>Pulled from research/competitors.csv (77 rows; those with a parseable RRP and servings count are shown). Price per serving computed live, inc VAT and net of VAT (÷1.2). EVERY PRICE HERE IS A SEARCH-ENGINE SUMMARY, NOT A DIRECT READ OF THE PAGE — the egress proxy refuses retailer and brand domains. Medium confidence at best.</t>
        </is>
      </c>
    </row>
    <row r="4" ht="95" customHeight="1">
      <c r="A4" s="33" t="inlineStr">
        <is>
          <t>THE STRATEGIC POINT. V-Drop can be judged on two different ladders and they give opposite answers. On the EFFERVESCENT ladder (Tesco £0.060 -&gt; Boots £0.088 -&gt; Berocca Immuno £0.500 -&gt; Berocca Mind £0.666 -&gt; Applied Nutrition Creatine £0.744) £0.833/serving would be the dearest effervescent tablet of any kind in the dataset, at 9.5-13.9x own-label. On the VITAMIN CATEGORY ladder it ranks 30th of 41, BELOW Wild Nutrition (£0.950-1.013 — the user's own named reference), Heights, AG1 and LYMA, and within 4% of Wellwoman Max (£0.804). Columns I and J compute both ranks live. My view is in drafts/pricing-recommendation.md: a taste-and-ritual proposition sold D2C is judged on the ladder the customer is standing on, and under D2C-only there is no shelf, so the comparison happens in search and paid social against DAILY MORNING SUPPLEMENTS, not against a Boots effervescent fixture. But the effervescent anchor does not disappear just because we would rather it did — it is one Google search away, and it is the single most commoditised price point in UK vitamins.</t>
        </is>
      </c>
    </row>
    <row r="6" ht="32" customHeight="1">
      <c r="A6" s="34" t="inlineStr">
        <is>
          <t>Brand</t>
        </is>
      </c>
      <c r="B6" s="34" t="inlineStr">
        <is>
          <t>Product</t>
        </is>
      </c>
      <c r="C6" s="34" t="inlineStr">
        <is>
          <t>Format</t>
        </is>
      </c>
      <c r="D6" s="34" t="inlineStr">
        <is>
          <t>Category</t>
        </is>
      </c>
      <c r="E6" s="34" t="inlineStr">
        <is>
          <t>Servings/pack</t>
        </is>
      </c>
      <c r="F6" s="34" t="inlineStr">
        <is>
          <t>RRP inc VAT</t>
        </is>
      </c>
      <c r="G6" s="34" t="inlineStr">
        <is>
          <t>£/serving inc VAT</t>
        </is>
      </c>
      <c r="H6" s="34" t="inlineStr">
        <is>
          <t>£/serving NET (÷1.2)</t>
        </is>
      </c>
      <c r="I6" s="34" t="inlineStr">
        <is>
          <t>Eff?</t>
        </is>
      </c>
      <c r="J6" s="34" t="inlineStr">
        <is>
          <t>Vit?</t>
        </is>
      </c>
      <c r="K6" s="34" t="inlineStr">
        <is>
          <t>Rank: eff. ladder</t>
        </is>
      </c>
      <c r="L6" s="34" t="inlineStr">
        <is>
          <t>Rank: vitamin ladder</t>
        </is>
      </c>
      <c r="M6" s="34" t="inlineStr">
        <is>
          <t>Source URL(s)</t>
        </is>
      </c>
      <c r="N6" s="34" t="inlineStr">
        <is>
          <t>Checked</t>
        </is>
      </c>
      <c r="O6" s="34" t="inlineStr">
        <is>
          <t>Confidence</t>
        </is>
      </c>
    </row>
    <row r="7" ht="32" customHeight="1">
      <c r="A7" s="35" t="n"/>
      <c r="B7" s="35" t="n"/>
      <c r="C7" s="35" t="n"/>
      <c r="D7" s="35" t="n"/>
      <c r="E7" s="35" t="n"/>
      <c r="F7" s="35" t="n"/>
      <c r="G7" s="35" t="n"/>
      <c r="H7" s="35" t="n"/>
      <c r="I7" s="35" t="n"/>
      <c r="J7" s="35" t="n"/>
      <c r="K7" s="35" t="n"/>
      <c r="L7" s="35" t="n"/>
      <c r="M7" s="35" t="n"/>
      <c r="N7" s="35" t="n"/>
      <c r="O7" s="35" t="n"/>
    </row>
    <row r="8">
      <c r="A8" s="36" t="inlineStr">
        <is>
          <t>V-DROP (proposed)</t>
        </is>
      </c>
      <c r="B8" s="36" t="inlineStr">
        <is>
          <t>Subscription refill — architecture A1</t>
        </is>
      </c>
      <c r="C8" t="inlineStr">
        <is>
          <t>effervescent tablet</t>
        </is>
      </c>
      <c r="D8" t="inlineStr">
        <is>
          <t>vitamin (morning multi)</t>
        </is>
      </c>
      <c r="E8" s="37">
        <f>'01 Inputs'!$E$15</f>
        <v/>
      </c>
      <c r="F8" s="38">
        <f>'01 Inputs'!$E$76</f>
        <v/>
      </c>
      <c r="G8" s="39">
        <f>IF(E8=0,"",F8/E8)</f>
        <v/>
      </c>
      <c r="H8" s="39">
        <f>IF(E8=0,"",G8/(1+'01 Inputs'!$G$11))</f>
        <v/>
      </c>
      <c r="I8" t="inlineStr">
        <is>
          <t>Y</t>
        </is>
      </c>
      <c r="J8" t="inlineStr">
        <is>
          <t>Y</t>
        </is>
      </c>
      <c r="K8">
        <f>IF(I8="Y",COUNTIFS($I$8:$I$58,"Y",$G$8:$G$58,"&lt;"&amp;G8)+1,"")</f>
        <v/>
      </c>
      <c r="L8">
        <f>IF(J8="Y",COUNTIFS($J$8:$J$58,"Y",$G$8:$G$58,"&lt;"&amp;G8)+1,"")</f>
        <v/>
      </c>
      <c r="M8" s="4" t="inlineStr">
        <is>
          <t>This workbook, architecture A1 (sheet 07)</t>
        </is>
      </c>
      <c r="N8" t="inlineStr">
        <is>
          <t>2026-09-22</t>
        </is>
      </c>
      <c r="O8" t="inlineStr">
        <is>
          <t>n/a</t>
        </is>
      </c>
    </row>
    <row r="9">
      <c r="A9" s="36" t="inlineStr">
        <is>
          <t>V-DROP (proposed)</t>
        </is>
      </c>
      <c r="B9" s="36" t="inlineStr">
        <is>
          <t>Subscription refill — architecture A2</t>
        </is>
      </c>
      <c r="C9" t="inlineStr">
        <is>
          <t>effervescent tablet</t>
        </is>
      </c>
      <c r="D9" t="inlineStr">
        <is>
          <t>vitamin (morning multi)</t>
        </is>
      </c>
      <c r="E9" s="37" t="n">
        <v>30</v>
      </c>
      <c r="F9" s="38" t="n">
        <v>22.99</v>
      </c>
      <c r="G9" s="39">
        <f>IF(E9=0,"",F9/E9)</f>
        <v/>
      </c>
      <c r="H9" s="39">
        <f>IF(E9=0,"",G9/(1+'01 Inputs'!$G$11))</f>
        <v/>
      </c>
      <c r="I9" t="inlineStr">
        <is>
          <t>Y</t>
        </is>
      </c>
      <c r="J9" t="inlineStr">
        <is>
          <t>Y</t>
        </is>
      </c>
      <c r="K9">
        <f>IF(I9="Y",COUNTIFS($I$8:$I$58,"Y",$G$8:$G$58,"&lt;"&amp;G9)+1,"")</f>
        <v/>
      </c>
      <c r="L9">
        <f>IF(J9="Y",COUNTIFS($J$8:$J$58,"Y",$G$8:$G$58,"&lt;"&amp;G9)+1,"")</f>
        <v/>
      </c>
      <c r="M9" s="4" t="inlineStr">
        <is>
          <t>This workbook, architecture A2 (sheet 07)</t>
        </is>
      </c>
      <c r="N9" t="inlineStr">
        <is>
          <t>2026-09-22</t>
        </is>
      </c>
      <c r="O9" t="inlineStr">
        <is>
          <t>n/a</t>
        </is>
      </c>
    </row>
    <row r="10">
      <c r="A10" s="36" t="inlineStr">
        <is>
          <t>V-DROP (proposed)</t>
        </is>
      </c>
      <c r="B10" s="36" t="inlineStr">
        <is>
          <t>Quarterly prepay per serving — architecture A3</t>
        </is>
      </c>
      <c r="C10" t="inlineStr">
        <is>
          <t>effervescent tablet</t>
        </is>
      </c>
      <c r="D10" t="inlineStr">
        <is>
          <t>vitamin (morning multi)</t>
        </is>
      </c>
      <c r="E10" s="37">
        <f>'01 Inputs'!$E$17</f>
        <v/>
      </c>
      <c r="F10" s="38">
        <f>'01 Inputs'!$E$78</f>
        <v/>
      </c>
      <c r="G10" s="39">
        <f>IF(E10=0,"",F10/E10)</f>
        <v/>
      </c>
      <c r="H10" s="39">
        <f>IF(E10=0,"",G10/(1+'01 Inputs'!$G$11))</f>
        <v/>
      </c>
      <c r="I10" t="inlineStr">
        <is>
          <t>Y</t>
        </is>
      </c>
      <c r="J10" t="inlineStr">
        <is>
          <t>Y</t>
        </is>
      </c>
      <c r="K10">
        <f>IF(I10="Y",COUNTIFS($I$8:$I$58,"Y",$G$8:$G$58,"&lt;"&amp;G10)+1,"")</f>
        <v/>
      </c>
      <c r="L10">
        <f>IF(J10="Y",COUNTIFS($J$8:$J$58,"Y",$G$8:$G$58,"&lt;"&amp;G10)+1,"")</f>
        <v/>
      </c>
      <c r="M10" s="4" t="inlineStr">
        <is>
          <t>This workbook, architecture A3 (sheet 07)</t>
        </is>
      </c>
      <c r="N10" t="inlineStr">
        <is>
          <t>2026-09-22</t>
        </is>
      </c>
      <c r="O10" t="inlineStr">
        <is>
          <t>n/a</t>
        </is>
      </c>
    </row>
    <row r="11">
      <c r="A11" s="36" t="inlineStr">
        <is>
          <t>V-DROP (proposed)</t>
        </is>
      </c>
      <c r="B11" s="36" t="inlineStr">
        <is>
          <t>Starter kit month 1 (with case) — A1</t>
        </is>
      </c>
      <c r="C11" t="inlineStr">
        <is>
          <t>effervescent tablet + case</t>
        </is>
      </c>
      <c r="D11" t="inlineStr">
        <is>
          <t>vitamin (morning multi)</t>
        </is>
      </c>
      <c r="E11" s="37">
        <f>'01 Inputs'!$E$15</f>
        <v/>
      </c>
      <c r="F11" s="38">
        <f>'01 Inputs'!$E$74</f>
        <v/>
      </c>
      <c r="G11" s="39">
        <f>IF(E11=0,"",F11/E11)</f>
        <v/>
      </c>
      <c r="H11" s="39">
        <f>IF(E11=0,"",G11/(1+'01 Inputs'!$G$11))</f>
        <v/>
      </c>
      <c r="I11" t="inlineStr">
        <is>
          <t>Y</t>
        </is>
      </c>
      <c r="J11" t="inlineStr">
        <is>
          <t>Y</t>
        </is>
      </c>
      <c r="K11">
        <f>IF(I11="Y",COUNTIFS($I$8:$I$58,"Y",$G$8:$G$58,"&lt;"&amp;G11)+1,"")</f>
        <v/>
      </c>
      <c r="L11">
        <f>IF(J11="Y",COUNTIFS($J$8:$J$58,"Y",$G$8:$G$58,"&lt;"&amp;G11)+1,"")</f>
        <v/>
      </c>
      <c r="M11" s="4" t="inlineStr">
        <is>
          <t>This workbook</t>
        </is>
      </c>
      <c r="N11" t="inlineStr">
        <is>
          <t>2026-09-22</t>
        </is>
      </c>
      <c r="O11" t="inlineStr">
        <is>
          <t>n/a</t>
        </is>
      </c>
    </row>
    <row r="12">
      <c r="A12" t="inlineStr">
        <is>
          <t>Waterdrop</t>
        </is>
      </c>
      <c r="B12" s="4" t="inlineStr">
        <is>
          <t>Microdrink</t>
        </is>
      </c>
      <c r="C12" s="4" t="inlineStr">
        <is>
          <t>effervescent cube</t>
        </is>
      </c>
      <c r="D12" t="inlineStr">
        <is>
          <t>vitamin</t>
        </is>
      </c>
      <c r="E12" s="37" t="n">
        <v>12</v>
      </c>
      <c r="F12" s="38" t="n">
        <v>8.99</v>
      </c>
      <c r="G12" s="39">
        <f>IF(E12=0,"",F12/E12)</f>
        <v/>
      </c>
      <c r="H12" s="39">
        <f>IF(E12=0,"",G12/(1+'01 Inputs'!$G$11))</f>
        <v/>
      </c>
      <c r="I12" t="inlineStr">
        <is>
          <t>Y</t>
        </is>
      </c>
      <c r="J12" t="inlineStr">
        <is>
          <t>Y</t>
        </is>
      </c>
      <c r="K12">
        <f>IF(I12="Y",COUNTIFS($I$8:$I$58,"Y",$G$8:$G$58,"&lt;"&amp;G12)+1,"")</f>
        <v/>
      </c>
      <c r="L12">
        <f>IF(J12="Y",COUNTIFS($J$8:$J$58,"Y",$G$8:$G$58,"&lt;"&amp;G12)+1,"")</f>
        <v/>
      </c>
      <c r="M12" s="4" t="inlineStr">
        <is>
          <t>https://en.waterdrop.com/products/microdrink-blackcurrant | https://en.waterdrop.com/collections/subscription | https://en.waterdrop.com/blogs/magazine/drink-more-water-get-vitamins</t>
        </is>
      </c>
      <c r="N12" t="inlineStr">
        <is>
          <t>2026-09-21</t>
        </is>
      </c>
      <c r="O12" t="inlineStr">
        <is>
          <t>med (price and vitamin figures from search summaries of wate</t>
        </is>
      </c>
    </row>
    <row r="13">
      <c r="A13" t="inlineStr">
        <is>
          <t>Phizz</t>
        </is>
      </c>
      <c r="B13" s="4" t="inlineStr">
        <is>
          <t>Daily 3-in-1 Hydration, Electrolytes &amp; Vitamins</t>
        </is>
      </c>
      <c r="C13" s="4" t="inlineStr">
        <is>
          <t>effervescent tablet in tube</t>
        </is>
      </c>
      <c r="D13" t="inlineStr">
        <is>
          <t>mixed</t>
        </is>
      </c>
      <c r="E13" s="37" t="n">
        <v>20</v>
      </c>
      <c r="F13" s="38" t="n">
        <v>7.99</v>
      </c>
      <c r="G13" s="39">
        <f>IF(E13=0,"",F13/E13)</f>
        <v/>
      </c>
      <c r="H13" s="39">
        <f>IF(E13=0,"",G13/(1+'01 Inputs'!$G$11))</f>
        <v/>
      </c>
      <c r="I13" t="inlineStr">
        <is>
          <t>Y</t>
        </is>
      </c>
      <c r="J13" t="inlineStr">
        <is>
          <t>Y</t>
        </is>
      </c>
      <c r="K13">
        <f>IF(I13="Y",COUNTIFS($I$8:$I$58,"Y",$G$8:$G$58,"&lt;"&amp;G13)+1,"")</f>
        <v/>
      </c>
      <c r="L13">
        <f>IF(J13="Y",COUNTIFS($J$8:$J$58,"Y",$G$8:$G$58,"&lt;"&amp;G13)+1,"")</f>
        <v/>
      </c>
      <c r="M13" s="4" t="inlineStr">
        <is>
          <t>https://www.phizz.co/products/3-in-1-hydration-electrolytes-vitamins-20 | https://www.tesco.com/groceries/en-GB/products/312575988 | https://www.boots.com/phizz-orange-3-in-1-hydration-electrolytes-and-vitamins-effervescent-tablets-20-tablets-10285064 | https://www.stirlinghealthfoodstore.co.uk/products/14937/hydration-electrolytes-vitamins.htm</t>
        </is>
      </c>
      <c r="N13" t="inlineStr">
        <is>
          <t>2026-09-21</t>
        </is>
      </c>
      <c r="O13" t="inlineStr">
        <is>
          <t xml:space="preserve">med (price £7.99 corroborated by two independent UK sources </t>
        </is>
      </c>
    </row>
    <row r="14">
      <c r="A14" t="inlineStr">
        <is>
          <t>Berocca (Bayer)</t>
        </is>
      </c>
      <c r="B14" s="4" t="inlineStr">
        <is>
          <t>Berocca Mind</t>
        </is>
      </c>
      <c r="C14" s="4" t="inlineStr">
        <is>
          <t>effervescent tablet in tube</t>
        </is>
      </c>
      <c r="D14" t="inlineStr">
        <is>
          <t>focus</t>
        </is>
      </c>
      <c r="E14" s="37" t="n">
        <v>15</v>
      </c>
      <c r="F14" s="38" t="n">
        <v>9.99</v>
      </c>
      <c r="G14" s="39">
        <f>IF(E14=0,"",F14/E14)</f>
        <v/>
      </c>
      <c r="H14" s="39">
        <f>IF(E14=0,"",G14/(1+'01 Inputs'!$G$11))</f>
        <v/>
      </c>
      <c r="I14" t="inlineStr">
        <is>
          <t>Y</t>
        </is>
      </c>
      <c r="J14" t="inlineStr">
        <is>
          <t>Y</t>
        </is>
      </c>
      <c r="K14">
        <f>IF(I14="Y",COUNTIFS($I$8:$I$58,"Y",$G$8:$G$58,"&lt;"&amp;G14)+1,"")</f>
        <v/>
      </c>
      <c r="L14">
        <f>IF(J14="Y",COUNTIFS($J$8:$J$58,"Y",$G$8:$G$58,"&lt;"&amp;G14)+1,"")</f>
        <v/>
      </c>
      <c r="M14" s="4" t="inlineStr">
        <is>
          <t>https://www.boots.com/berocca-mind-berry-tablets-15s-10358306 | https://www.bayer.com/sites/default/files/berocca-mind-pil.pdf | https://www.berocca.com.au/products/mind/berocca-mind-film-coated-tablets</t>
        </is>
      </c>
      <c r="N14" t="inlineStr">
        <is>
          <t>2026-09-21</t>
        </is>
      </c>
      <c r="O14" t="inlineStr">
        <is>
          <t xml:space="preserve">med (Boots price from search summary; formulation described </t>
        </is>
      </c>
    </row>
    <row r="15">
      <c r="A15" t="inlineStr">
        <is>
          <t>Berocca (Bayer)</t>
        </is>
      </c>
      <c r="B15" s="4" t="inlineStr">
        <is>
          <t>Berocca Immuno</t>
        </is>
      </c>
      <c r="C15" s="4" t="inlineStr">
        <is>
          <t>effervescent tablet in tube</t>
        </is>
      </c>
      <c r="D15" t="inlineStr">
        <is>
          <t>vitamin</t>
        </is>
      </c>
      <c r="E15" s="37" t="n">
        <v>30</v>
      </c>
      <c r="F15" s="38" t="n">
        <v>15</v>
      </c>
      <c r="G15" s="39">
        <f>IF(E15=0,"",F15/E15)</f>
        <v/>
      </c>
      <c r="H15" s="39">
        <f>IF(E15=0,"",G15/(1+'01 Inputs'!$G$11))</f>
        <v/>
      </c>
      <c r="I15" t="inlineStr">
        <is>
          <t>Y</t>
        </is>
      </c>
      <c r="J15" t="inlineStr">
        <is>
          <t>Y</t>
        </is>
      </c>
      <c r="K15">
        <f>IF(I15="Y",COUNTIFS($I$8:$I$58,"Y",$G$8:$G$58,"&lt;"&amp;G15)+1,"")</f>
        <v/>
      </c>
      <c r="L15">
        <f>IF(J15="Y",COUNTIFS($J$8:$J$58,"Y",$G$8:$G$58,"&lt;"&amp;G15)+1,"")</f>
        <v/>
      </c>
      <c r="M15" s="4" t="inlineStr">
        <is>
          <t>https://www.boots.com/berocca-immuno-orange-effervescent-tablets-30s-10372054</t>
        </is>
      </c>
      <c r="N15" t="inlineStr">
        <is>
          <t>2026-09-21</t>
        </is>
      </c>
      <c r="O15" t="inlineStr">
        <is>
          <t>med (price from search summary of the Boots page; doses UNVE</t>
        </is>
      </c>
    </row>
    <row r="16">
      <c r="A16" t="inlineStr">
        <is>
          <t>Tonic Health</t>
        </is>
      </c>
      <c r="B16" s="4" t="inlineStr">
        <is>
          <t>High Dose Immunity drink sachets</t>
        </is>
      </c>
      <c r="C16" s="4" t="inlineStr">
        <is>
          <t>effervescent powder sachet</t>
        </is>
      </c>
      <c r="D16" t="inlineStr">
        <is>
          <t>vitamin</t>
        </is>
      </c>
      <c r="E16" s="37" t="n">
        <v>10</v>
      </c>
      <c r="F16" s="38" t="n">
        <v>9</v>
      </c>
      <c r="G16" s="39">
        <f>IF(E16=0,"",F16/E16)</f>
        <v/>
      </c>
      <c r="H16" s="39">
        <f>IF(E16=0,"",G16/(1+'01 Inputs'!$G$11))</f>
        <v/>
      </c>
      <c r="I16" t="inlineStr">
        <is>
          <t>Y</t>
        </is>
      </c>
      <c r="J16" t="inlineStr">
        <is>
          <t>Y</t>
        </is>
      </c>
      <c r="K16">
        <f>IF(I16="Y",COUNTIFS($I$8:$I$58,"Y",$G$8:$G$58,"&lt;"&amp;G16)+1,"")</f>
        <v/>
      </c>
      <c r="L16">
        <f>IF(J16="Y",COUNTIFS($J$8:$J$58,"Y",$G$8:$G$58,"&lt;"&amp;G16)+1,"")</f>
        <v/>
      </c>
      <c r="M16" s="4" t="inlineStr">
        <is>
          <t>https://www.trolley.co.uk/product/tonic-lemon-cold-immunity-drink-10-sachet/TIX573</t>
        </is>
      </c>
      <c r="N16" t="inlineStr">
        <is>
          <t>2026-09-21</t>
        </is>
      </c>
      <c r="O16" t="inlineStr">
        <is>
          <t>low (price is a range from an aggregator, not a single retai</t>
        </is>
      </c>
    </row>
    <row r="17">
      <c r="A17" t="inlineStr">
        <is>
          <t>Boots</t>
        </is>
      </c>
      <c r="B17" s="4" t="inlineStr">
        <is>
          <t>High Strength Vitamin C 1000 mg effervescent</t>
        </is>
      </c>
      <c r="C17" s="4" t="inlineStr">
        <is>
          <t>effervescent tablet in tube</t>
        </is>
      </c>
      <c r="D17" t="inlineStr">
        <is>
          <t>vitamin</t>
        </is>
      </c>
      <c r="E17" s="37" t="n">
        <v>20</v>
      </c>
      <c r="F17" s="38" t="n">
        <v>1.75</v>
      </c>
      <c r="G17" s="39">
        <f>IF(E17=0,"",F17/E17)</f>
        <v/>
      </c>
      <c r="H17" s="39">
        <f>IF(E17=0,"",G17/(1+'01 Inputs'!$G$11))</f>
        <v/>
      </c>
      <c r="I17" t="inlineStr">
        <is>
          <t>Y</t>
        </is>
      </c>
      <c r="J17" t="inlineStr">
        <is>
          <t>Y</t>
        </is>
      </c>
      <c r="K17">
        <f>IF(I17="Y",COUNTIFS($I$8:$I$58,"Y",$G$8:$G$58,"&lt;"&amp;G17)+1,"")</f>
        <v/>
      </c>
      <c r="L17">
        <f>IF(J17="Y",COUNTIFS($J$8:$J$58,"Y",$G$8:$G$58,"&lt;"&amp;G17)+1,"")</f>
        <v/>
      </c>
      <c r="M17" s="4" t="inlineStr">
        <is>
          <t>https://www.boots.com/boots-blackcurrant-flavour-effervescent-vitamin-c-1000-mg-20-tablets-10275001 | https://www.trolley.co.uk/product/boots-high-strength-blackcurrant-flavour-effervescent-vitamin-c-1000-mg-20-tablets/YSM896</t>
        </is>
      </c>
      <c r="N17" t="inlineStr">
        <is>
          <t>2026-09-21</t>
        </is>
      </c>
      <c r="O17" t="inlineStr">
        <is>
          <t>med (price from search summary; 'from' pricing may not be th</t>
        </is>
      </c>
    </row>
    <row r="18">
      <c r="A18" t="inlineStr">
        <is>
          <t>Tesco</t>
        </is>
      </c>
      <c r="B18" s="4" t="inlineStr">
        <is>
          <t>Health High Strength Vitamin C effervescent</t>
        </is>
      </c>
      <c r="C18" s="4" t="inlineStr">
        <is>
          <t>effervescent tablet in tube</t>
        </is>
      </c>
      <c r="D18" t="inlineStr">
        <is>
          <t>vitamin</t>
        </is>
      </c>
      <c r="E18" s="37" t="n">
        <v>20</v>
      </c>
      <c r="F18" s="38" t="n">
        <v>1.19</v>
      </c>
      <c r="G18" s="39">
        <f>IF(E18=0,"",F18/E18)</f>
        <v/>
      </c>
      <c r="H18" s="39">
        <f>IF(E18=0,"",G18/(1+'01 Inputs'!$G$11))</f>
        <v/>
      </c>
      <c r="I18" t="inlineStr">
        <is>
          <t>Y</t>
        </is>
      </c>
      <c r="J18" t="inlineStr">
        <is>
          <t>Y</t>
        </is>
      </c>
      <c r="K18">
        <f>IF(I18="Y",COUNTIFS($I$8:$I$58,"Y",$G$8:$G$58,"&lt;"&amp;G18)+1,"")</f>
        <v/>
      </c>
      <c r="L18">
        <f>IF(J18="Y",COUNTIFS($J$8:$J$58,"Y",$G$8:$G$58,"&lt;"&amp;G18)+1,"")</f>
        <v/>
      </c>
      <c r="M18" s="4" t="inlineStr">
        <is>
          <t>https://www.grocefully.com/uk/product/tesco/tesco-health-high-strength-vitamin-c-effervescent-tablets-252479807 | https://www.tesco.com/shop/en-GB/products/252479807</t>
        </is>
      </c>
      <c r="N18" t="inlineStr">
        <is>
          <t>2026-09-21</t>
        </is>
      </c>
      <c r="O18" t="inlineStr">
        <is>
          <t>med (two prices seen for the same line: £1.19 and £1.50)</t>
        </is>
      </c>
    </row>
    <row r="19">
      <c r="A19" t="inlineStr">
        <is>
          <t>Science in Sport (SiS)</t>
        </is>
      </c>
      <c r="B19" s="4" t="inlineStr">
        <is>
          <t>GO Hydro</t>
        </is>
      </c>
      <c r="C19" s="4" t="inlineStr">
        <is>
          <t>effervescent tablet in tube</t>
        </is>
      </c>
      <c r="D19" t="inlineStr">
        <is>
          <t>hydration</t>
        </is>
      </c>
      <c r="E19" s="37" t="n">
        <v>20</v>
      </c>
      <c r="F19" s="38" t="n">
        <v>6.99</v>
      </c>
      <c r="G19" s="39">
        <f>IF(E19=0,"",F19/E19)</f>
        <v/>
      </c>
      <c r="H19" s="39">
        <f>IF(E19=0,"",G19/(1+'01 Inputs'!$G$11))</f>
        <v/>
      </c>
      <c r="I19" t="inlineStr">
        <is>
          <t>Y</t>
        </is>
      </c>
      <c r="J19" t="inlineStr">
        <is>
          <t>N</t>
        </is>
      </c>
      <c r="K19">
        <f>IF(I19="Y",COUNTIFS($I$8:$I$58,"Y",$G$8:$G$58,"&lt;"&amp;G19)+1,"")</f>
        <v/>
      </c>
      <c r="L19">
        <f>IF(J19="Y",COUNTIFS($J$8:$J$58,"Y",$G$8:$G$58,"&lt;"&amp;G19)+1,"")</f>
        <v/>
      </c>
      <c r="M19" s="4" t="inlineStr">
        <is>
          <t>https://www.scienceinsport.com/sis-hydro-tablets-pack | https://www.tesco.com/groceries/en-GB/products/274761998 | https://startfitness.co.uk/products/sis-go-hydro-20-tablet-tube</t>
        </is>
      </c>
      <c r="N19" t="inlineStr">
        <is>
          <t>2026-09-21</t>
        </is>
      </c>
      <c r="O19" t="inlineStr">
        <is>
          <t>med (several UK prices seen: £6.50, £6.99, £7.60; £6.99 take</t>
        </is>
      </c>
    </row>
    <row r="20">
      <c r="A20" t="inlineStr">
        <is>
          <t>HIGH5</t>
        </is>
      </c>
      <c r="B20" s="4" t="inlineStr">
        <is>
          <t>ZERO electrolyte tablets</t>
        </is>
      </c>
      <c r="C20" s="4" t="inlineStr">
        <is>
          <t>effervescent tablet in tube</t>
        </is>
      </c>
      <c r="D20" t="inlineStr">
        <is>
          <t>hydration</t>
        </is>
      </c>
      <c r="E20" s="37" t="n">
        <v>20</v>
      </c>
      <c r="F20" s="38" t="n">
        <v>8</v>
      </c>
      <c r="G20" s="39">
        <f>IF(E20=0,"",F20/E20)</f>
        <v/>
      </c>
      <c r="H20" s="39">
        <f>IF(E20=0,"",G20/(1+'01 Inputs'!$G$11))</f>
        <v/>
      </c>
      <c r="I20" t="inlineStr">
        <is>
          <t>Y</t>
        </is>
      </c>
      <c r="J20" t="inlineStr">
        <is>
          <t>N</t>
        </is>
      </c>
      <c r="K20">
        <f>IF(I20="Y",COUNTIFS($I$8:$I$58,"Y",$G$8:$G$58,"&lt;"&amp;G20)+1,"")</f>
        <v/>
      </c>
      <c r="L20">
        <f>IF(J20="Y",COUNTIFS($J$8:$J$58,"Y",$G$8:$G$58,"&lt;"&amp;G20)+1,"")</f>
        <v/>
      </c>
      <c r="M20" s="4" t="inlineStr">
        <is>
          <t>https://www.tesco.com/groceries/en-GB/products/317875026 | https://pricespy.co.uk/product.php?p=3330836 | https://highfive.co.uk/products/zero | https://www.boots.com/high5-zero-orange-and-cherry-electrolyte-hydration-tabs-20-tabs-10345397</t>
        </is>
      </c>
      <c r="N20" t="inlineStr">
        <is>
          <t>2026-09-21</t>
        </is>
      </c>
      <c r="O20" t="inlineStr">
        <is>
          <t>med (price spread £3.99-£8.00; Tesco standard used for the l</t>
        </is>
      </c>
    </row>
    <row r="21">
      <c r="A21" t="inlineStr">
        <is>
          <t>Liquid I.V. (Unilever)</t>
        </is>
      </c>
      <c r="B21" s="4" t="inlineStr">
        <is>
          <t>Hydration Multiplier</t>
        </is>
      </c>
      <c r="C21" s="4" t="inlineStr">
        <is>
          <t>powder stick sachet</t>
        </is>
      </c>
      <c r="D21" t="inlineStr">
        <is>
          <t>hydration</t>
        </is>
      </c>
      <c r="E21" s="37" t="n">
        <v>15</v>
      </c>
      <c r="F21" s="38" t="n">
        <v>16</v>
      </c>
      <c r="G21" s="39">
        <f>IF(E21=0,"",F21/E21)</f>
        <v/>
      </c>
      <c r="H21" s="39">
        <f>IF(E21=0,"",G21/(1+'01 Inputs'!$G$11))</f>
        <v/>
      </c>
      <c r="I21" t="inlineStr">
        <is>
          <t>N</t>
        </is>
      </c>
      <c r="J21" t="inlineStr">
        <is>
          <t>N</t>
        </is>
      </c>
      <c r="K21">
        <f>IF(I21="Y",COUNTIFS($I$8:$I$58,"Y",$G$8:$G$58,"&lt;"&amp;G21)+1,"")</f>
        <v/>
      </c>
      <c r="L21">
        <f>IF(J21="Y",COUNTIFS($J$8:$J$58,"Y",$G$8:$G$58,"&lt;"&amp;G21)+1,"")</f>
        <v/>
      </c>
      <c r="M21" s="4" t="inlineStr">
        <is>
          <t>https://www.latestdeals.co.uk/deals/liquid-iv-hydration-multiplier-electrolyte-powder-mix-strawberry-15-sachets-boots | https://www.boots.com/liquid-iv-hydration-multiplier-electrolyte-powder-mix-strawberry-15-sachets-10342019 | https://www.liquid-iv.co.uk/products/hydration-multiplier</t>
        </is>
      </c>
      <c r="N21" t="inlineStr">
        <is>
          <t>2026-09-21</t>
        </is>
      </c>
      <c r="O21" t="inlineStr">
        <is>
          <t xml:space="preserve">med (price corroborated by a deals aggregator citing Boots; </t>
        </is>
      </c>
    </row>
    <row r="22">
      <c r="A22" t="inlineStr">
        <is>
          <t>Dioralyte (Sanofi)</t>
        </is>
      </c>
      <c r="B22" s="4" t="inlineStr">
        <is>
          <t>Oral rehydration salts</t>
        </is>
      </c>
      <c r="C22" s="4" t="inlineStr">
        <is>
          <t>powder sachet</t>
        </is>
      </c>
      <c r="D22" t="inlineStr">
        <is>
          <t>hydration</t>
        </is>
      </c>
      <c r="E22" s="37" t="n">
        <v>6</v>
      </c>
      <c r="F22" s="38" t="n">
        <v>4.9</v>
      </c>
      <c r="G22" s="39">
        <f>IF(E22=0,"",F22/E22)</f>
        <v/>
      </c>
      <c r="H22" s="39">
        <f>IF(E22=0,"",G22/(1+'01 Inputs'!$G$11))</f>
        <v/>
      </c>
      <c r="I22" t="inlineStr">
        <is>
          <t>N</t>
        </is>
      </c>
      <c r="J22" t="inlineStr">
        <is>
          <t>N</t>
        </is>
      </c>
      <c r="K22">
        <f>IF(I22="Y",COUNTIFS($I$8:$I$58,"Y",$G$8:$G$58,"&lt;"&amp;G22)+1,"")</f>
        <v/>
      </c>
      <c r="L22">
        <f>IF(J22="Y",COUNTIFS($J$8:$J$58,"Y",$G$8:$G$58,"&lt;"&amp;G22)+1,"")</f>
        <v/>
      </c>
      <c r="M22" s="4" t="inlineStr">
        <is>
          <t>https://www.boots.com/dioralyte-blackcurrent-6-sachets-10020148 | https://cache.trolley.co.uk/product/dioralyte-blackcurrant-6-sachets/RIS484</t>
        </is>
      </c>
      <c r="N22" t="inlineStr">
        <is>
          <t>2026-09-21</t>
        </is>
      </c>
      <c r="O22" t="inlineStr">
        <is>
          <t>med (Boots price from search summary; price spread noted)</t>
        </is>
      </c>
    </row>
    <row r="23">
      <c r="A23" t="inlineStr">
        <is>
          <t>Applied Nutrition</t>
        </is>
      </c>
      <c r="B23" s="4" t="inlineStr">
        <is>
          <t>Electrolyte Hydration effervescent</t>
        </is>
      </c>
      <c r="C23" s="4" t="inlineStr">
        <is>
          <t>effervescent tablet in tube</t>
        </is>
      </c>
      <c r="D23" t="inlineStr">
        <is>
          <t>hydration</t>
        </is>
      </c>
      <c r="E23" s="37" t="n">
        <v>20</v>
      </c>
      <c r="F23" s="38" t="n">
        <v>5</v>
      </c>
      <c r="G23" s="39">
        <f>IF(E23=0,"",F23/E23)</f>
        <v/>
      </c>
      <c r="H23" s="39">
        <f>IF(E23=0,"",G23/(1+'01 Inputs'!$G$11))</f>
        <v/>
      </c>
      <c r="I23" t="inlineStr">
        <is>
          <t>Y</t>
        </is>
      </c>
      <c r="J23" t="inlineStr">
        <is>
          <t>N</t>
        </is>
      </c>
      <c r="K23">
        <f>IF(I23="Y",COUNTIFS($I$8:$I$58,"Y",$G$8:$G$58,"&lt;"&amp;G23)+1,"")</f>
        <v/>
      </c>
      <c r="L23">
        <f>IF(J23="Y",COUNTIFS($J$8:$J$58,"Y",$G$8:$G$58,"&lt;"&amp;G23)+1,"")</f>
        <v/>
      </c>
      <c r="M23" s="4" t="inlineStr">
        <is>
          <t>https://www.hollandandbarrett.com/shop/product/electrolyte-hydration-tablets-vimto-20-x-4g-6100006019 | https://www.hollandandbarrett.com/shop/product/applied-nutrition-electrolyte-hydration-lemon-lime-20-tablets-6100002242</t>
        </is>
      </c>
      <c r="N23" t="inlineStr">
        <is>
          <t>2026-09-21</t>
        </is>
      </c>
      <c r="O23" t="inlineStr">
        <is>
          <t>med (RRP and promo price both stated in the search summary o</t>
        </is>
      </c>
    </row>
    <row r="24">
      <c r="A24" t="inlineStr">
        <is>
          <t>Precision Engineered (Holland &amp; Barrett own brand)</t>
        </is>
      </c>
      <c r="B24" s="4" t="inlineStr">
        <is>
          <t>Hydration &amp; Energy Effervescent</t>
        </is>
      </c>
      <c r="C24" s="4" t="inlineStr">
        <is>
          <t>effervescent tablet in tube</t>
        </is>
      </c>
      <c r="D24" t="inlineStr">
        <is>
          <t>mixed</t>
        </is>
      </c>
      <c r="E24" s="37" t="n">
        <v>20</v>
      </c>
      <c r="F24" s="38" t="n">
        <v>5</v>
      </c>
      <c r="G24" s="39">
        <f>IF(E24=0,"",F24/E24)</f>
        <v/>
      </c>
      <c r="H24" s="39">
        <f>IF(E24=0,"",G24/(1+'01 Inputs'!$G$11))</f>
        <v/>
      </c>
      <c r="I24" t="inlineStr">
        <is>
          <t>Y</t>
        </is>
      </c>
      <c r="J24" t="inlineStr">
        <is>
          <t>Y</t>
        </is>
      </c>
      <c r="K24">
        <f>IF(I24="Y",COUNTIFS($I$8:$I$58,"Y",$G$8:$G$58,"&lt;"&amp;G24)+1,"")</f>
        <v/>
      </c>
      <c r="L24">
        <f>IF(J24="Y",COUNTIFS($J$8:$J$58,"Y",$G$8:$G$58,"&lt;"&amp;G24)+1,"")</f>
        <v/>
      </c>
      <c r="M24" s="4" t="inlineStr">
        <is>
          <t>https://www.hollandandbarrett.com/shop/product/hydraton-energy-effervescent-lemon-lime-20-tablets-6100004651 | https://sport.wetestyoutrust.com/supplement-search/precision-engineered-holland-barrett/effervescent-hydration-energy</t>
        </is>
      </c>
      <c r="N24" t="inlineStr">
        <is>
          <t>2026-09-21</t>
        </is>
      </c>
      <c r="O24" t="inlineStr">
        <is>
          <t>med (RRP and promo price stated in the search summary)</t>
        </is>
      </c>
    </row>
    <row r="25">
      <c r="A25" t="inlineStr">
        <is>
          <t>Spacegoods</t>
        </is>
      </c>
      <c r="B25" s="4" t="inlineStr">
        <is>
          <t>Rainbow Dust</t>
        </is>
      </c>
      <c r="C25" s="4" t="inlineStr">
        <is>
          <t>powder tub</t>
        </is>
      </c>
      <c r="D25" t="inlineStr">
        <is>
          <t>mixed</t>
        </is>
      </c>
      <c r="E25" s="37" t="n">
        <v>30</v>
      </c>
      <c r="F25" s="38" t="n">
        <v>49</v>
      </c>
      <c r="G25" s="39">
        <f>IF(E25=0,"",F25/E25)</f>
        <v/>
      </c>
      <c r="H25" s="39">
        <f>IF(E25=0,"",G25/(1+'01 Inputs'!$G$11))</f>
        <v/>
      </c>
      <c r="I25" t="inlineStr">
        <is>
          <t>N</t>
        </is>
      </c>
      <c r="J25" t="inlineStr">
        <is>
          <t>Y</t>
        </is>
      </c>
      <c r="K25">
        <f>IF(I25="Y",COUNTIFS($I$8:$I$58,"Y",$G$8:$G$58,"&lt;"&amp;G25)+1,"")</f>
        <v/>
      </c>
      <c r="L25">
        <f>IF(J25="Y",COUNTIFS($J$8:$J$58,"Y",$G$8:$G$58,"&lt;"&amp;G25)+1,"")</f>
        <v/>
      </c>
      <c r="M25" s="4" t="inlineStr">
        <is>
          <t>https://spacegoods.com/products/rainbow-dust-vanilla | https://www.hollandandbarrett.com/shop/product/spacegoods-rainbow-dust-chocolate-240g-6100002032 | https://helpcenter.spacegoods.com/en-US/rainbow-dust-chocolate-499376 | https://world.openfoodfacts.org/product/5065009432172/rainbow-dust-space-goods</t>
        </is>
      </c>
      <c r="N25" t="inlineStr">
        <is>
          <t>2026-09-21</t>
        </is>
      </c>
      <c r="O25" t="inlineStr">
        <is>
          <t>med (price £49/£39 and doses both from search summaries of s</t>
        </is>
      </c>
    </row>
    <row r="26">
      <c r="A26" t="inlineStr">
        <is>
          <t>DIRTEA</t>
        </is>
      </c>
      <c r="B26" s="4" t="inlineStr">
        <is>
          <t>Lion's Mane Mushroom Powder</t>
        </is>
      </c>
      <c r="C26" s="4" t="inlineStr">
        <is>
          <t>powder pouch</t>
        </is>
      </c>
      <c r="D26" t="inlineStr">
        <is>
          <t>focus</t>
        </is>
      </c>
      <c r="E26" s="37" t="n">
        <v>30</v>
      </c>
      <c r="F26" s="38" t="n">
        <v>30.95</v>
      </c>
      <c r="G26" s="39">
        <f>IF(E26=0,"",F26/E26)</f>
        <v/>
      </c>
      <c r="H26" s="39">
        <f>IF(E26=0,"",G26/(1+'01 Inputs'!$G$11))</f>
        <v/>
      </c>
      <c r="I26" t="inlineStr">
        <is>
          <t>N</t>
        </is>
      </c>
      <c r="J26" t="inlineStr">
        <is>
          <t>Y</t>
        </is>
      </c>
      <c r="K26">
        <f>IF(I26="Y",COUNTIFS($I$8:$I$58,"Y",$G$8:$G$58,"&lt;"&amp;G26)+1,"")</f>
        <v/>
      </c>
      <c r="L26">
        <f>IF(J26="Y",COUNTIFS($J$8:$J$58,"Y",$G$8:$G$58,"&lt;"&amp;G26)+1,"")</f>
        <v/>
      </c>
      <c r="M26" s="4" t="inlineStr">
        <is>
          <t>https://www.dolphinfitness.co.uk/en/dirtea-lions-mane-powder-60g/369164 | https://welleasy.co.uk/products/dirtea-lions-mane-mushroom-powder-60g-30-servings | https://www.amazon.co.uk/DIRTEA-Mushroom-Cognitive-Nootropic-Performance/dp/B0BSLK4H8L</t>
        </is>
      </c>
      <c r="N26" t="inlineStr">
        <is>
          <t>2026-09-21</t>
        </is>
      </c>
      <c r="O26" t="inlineStr">
        <is>
          <t>med (price from a named UK retailer via search summary; extr</t>
        </is>
      </c>
    </row>
    <row r="27">
      <c r="A27" t="inlineStr">
        <is>
          <t>DIRTEA</t>
        </is>
      </c>
      <c r="B27" s="4" t="inlineStr">
        <is>
          <t>Coffee Super Blend with Lion's Mane</t>
        </is>
      </c>
      <c r="C27" s="4" t="inlineStr">
        <is>
          <t>powder tub</t>
        </is>
      </c>
      <c r="D27" t="inlineStr">
        <is>
          <t>mixed</t>
        </is>
      </c>
      <c r="E27" s="37" t="n">
        <v>60</v>
      </c>
      <c r="F27" s="38" t="n">
        <v>30.95</v>
      </c>
      <c r="G27" s="39">
        <f>IF(E27=0,"",F27/E27)</f>
        <v/>
      </c>
      <c r="H27" s="39">
        <f>IF(E27=0,"",G27/(1+'01 Inputs'!$G$11))</f>
        <v/>
      </c>
      <c r="I27" t="inlineStr">
        <is>
          <t>N</t>
        </is>
      </c>
      <c r="J27" t="inlineStr">
        <is>
          <t>Y</t>
        </is>
      </c>
      <c r="K27">
        <f>IF(I27="Y",COUNTIFS($I$8:$I$58,"Y",$G$8:$G$58,"&lt;"&amp;G27)+1,"")</f>
        <v/>
      </c>
      <c r="L27">
        <f>IF(J27="Y",COUNTIFS($J$8:$J$58,"Y",$G$8:$G$58,"&lt;"&amp;G27)+1,"")</f>
        <v/>
      </c>
      <c r="M27" s="4" t="inlineStr">
        <is>
          <t>https://www.dolphinfitness.co.uk/en/dirtea-mushroom-coffee-150g/369158 | https://www.amazon.co.uk/DIRTEA-Mushroom-Servings-Serving-Ashwagandha/dp/B0DK22TGLP</t>
        </is>
      </c>
      <c r="N27" t="inlineStr">
        <is>
          <t>2026-09-21</t>
        </is>
      </c>
      <c r="O27" t="inlineStr">
        <is>
          <t>med (price from a named UK retailer via search summary)</t>
        </is>
      </c>
    </row>
    <row r="28">
      <c r="A28" t="inlineStr">
        <is>
          <t>Neutonic</t>
        </is>
      </c>
      <c r="B28" s="4" t="inlineStr">
        <is>
          <t>Productivity Drink</t>
        </is>
      </c>
      <c r="C28" s="4" t="inlineStr">
        <is>
          <t>RTD can</t>
        </is>
      </c>
      <c r="D28" t="inlineStr">
        <is>
          <t>focus</t>
        </is>
      </c>
      <c r="E28" s="37" t="n">
        <v>12</v>
      </c>
      <c r="F28" s="38" t="n">
        <v>29.99</v>
      </c>
      <c r="G28" s="39">
        <f>IF(E28=0,"",F28/E28)</f>
        <v/>
      </c>
      <c r="H28" s="39">
        <f>IF(E28=0,"",G28/(1+'01 Inputs'!$G$11))</f>
        <v/>
      </c>
      <c r="I28" t="inlineStr">
        <is>
          <t>N</t>
        </is>
      </c>
      <c r="J28" t="inlineStr">
        <is>
          <t>Y</t>
        </is>
      </c>
      <c r="K28">
        <f>IF(I28="Y",COUNTIFS($I$8:$I$58,"Y",$G$8:$G$58,"&lt;"&amp;G28)+1,"")</f>
        <v/>
      </c>
      <c r="L28">
        <f>IF(J28="Y",COUNTIFS($J$8:$J$58,"Y",$G$8:$G$58,"&lt;"&amp;G28)+1,"")</f>
        <v/>
      </c>
      <c r="M28" s="4" t="inlineStr">
        <is>
          <t>https://www.neutonic.com/products/productivity-drink-strawberry-lemonade-uk | https://combat-fuel.co.uk/product/neutonic/ | https://www.amazon.co.uk/Neutonic-Productivity-Energy-Drink-Boost/dp/B0C9D4TJQ9 | https://www.dolphinfitness.co.uk/en/neutonic-drink-12-x-330-ml-orange/453468</t>
        </is>
      </c>
      <c r="N28" t="inlineStr">
        <is>
          <t>2026-09-21</t>
        </is>
      </c>
      <c r="O28" t="inlineStr">
        <is>
          <t>med (dose panel well corroborated; RRP spread £12.95-£29.99,</t>
        </is>
      </c>
    </row>
    <row r="29">
      <c r="A29" t="inlineStr">
        <is>
          <t>TRIP</t>
        </is>
      </c>
      <c r="B29" s="4" t="inlineStr">
        <is>
          <t>Mindful Blend</t>
        </is>
      </c>
      <c r="C29" s="4" t="inlineStr">
        <is>
          <t>RTD can</t>
        </is>
      </c>
      <c r="D29" t="inlineStr">
        <is>
          <t>adaptogen</t>
        </is>
      </c>
      <c r="E29" s="37" t="n">
        <v>4</v>
      </c>
      <c r="F29" s="38" t="n">
        <v>6.5</v>
      </c>
      <c r="G29" s="39">
        <f>IF(E29=0,"",F29/E29)</f>
        <v/>
      </c>
      <c r="H29" s="39">
        <f>IF(E29=0,"",G29/(1+'01 Inputs'!$G$11))</f>
        <v/>
      </c>
      <c r="I29" t="inlineStr">
        <is>
          <t>N</t>
        </is>
      </c>
      <c r="J29" t="inlineStr">
        <is>
          <t>Y</t>
        </is>
      </c>
      <c r="K29">
        <f>IF(I29="Y",COUNTIFS($I$8:$I$58,"Y",$G$8:$G$58,"&lt;"&amp;G29)+1,"")</f>
        <v/>
      </c>
      <c r="L29">
        <f>IF(J29="Y",COUNTIFS($J$8:$J$58,"Y",$G$8:$G$58,"&lt;"&amp;G29)+1,"")</f>
        <v/>
      </c>
      <c r="M29" s="4" t="inlineStr">
        <is>
          <t>https://www.tesco.com/groceries/en-GB/products/320388852 | https://drink-trip.com/</t>
        </is>
      </c>
      <c r="N29" t="inlineStr">
        <is>
          <t>2026-09-21</t>
        </is>
      </c>
      <c r="O29" t="inlineStr">
        <is>
          <t xml:space="preserve">med (Tesco price from search summary; magnesium dose from a </t>
        </is>
      </c>
    </row>
    <row r="30">
      <c r="A30" t="inlineStr">
        <is>
          <t>TENZING</t>
        </is>
      </c>
      <c r="B30" s="4" t="inlineStr">
        <is>
          <t>Natural Energy</t>
        </is>
      </c>
      <c r="C30" s="4" t="inlineStr">
        <is>
          <t>RTD can</t>
        </is>
      </c>
      <c r="D30" t="inlineStr">
        <is>
          <t>energy</t>
        </is>
      </c>
      <c r="E30" s="37" t="n">
        <v>1</v>
      </c>
      <c r="F30" s="38" t="n">
        <v>2.25</v>
      </c>
      <c r="G30" s="39">
        <f>IF(E30=0,"",F30/E30)</f>
        <v/>
      </c>
      <c r="H30" s="39">
        <f>IF(E30=0,"",G30/(1+'01 Inputs'!$G$11))</f>
        <v/>
      </c>
      <c r="I30" t="inlineStr">
        <is>
          <t>N</t>
        </is>
      </c>
      <c r="J30" t="inlineStr">
        <is>
          <t>N</t>
        </is>
      </c>
      <c r="K30">
        <f>IF(I30="Y",COUNTIFS($I$8:$I$58,"Y",$G$8:$G$58,"&lt;"&amp;G30)+1,"")</f>
        <v/>
      </c>
      <c r="L30">
        <f>IF(J30="Y",COUNTIFS($J$8:$J$58,"Y",$G$8:$G$58,"&lt;"&amp;G30)+1,"")</f>
        <v/>
      </c>
      <c r="M30" s="4" t="inlineStr">
        <is>
          <t>https://tenzingnaturalenergy.com/products/original-recipe | https://www.tesco.com/groceries/en-GB/products/296660116 | https://www.thegrocer.co.uk/news/tenzing-launches-worlds-strongest-natural-energy-drink-with-200mg-of-caffeine/693391.article</t>
        </is>
      </c>
      <c r="N30" t="inlineStr">
        <is>
          <t>2026-09-21</t>
        </is>
      </c>
      <c r="O30" t="inlineStr">
        <is>
          <t>med (RRP from search summary; caffeine corroborated)</t>
        </is>
      </c>
    </row>
    <row r="31">
      <c r="A31" t="inlineStr">
        <is>
          <t>Holland &amp; Barrett</t>
        </is>
      </c>
      <c r="B31" s="4" t="inlineStr">
        <is>
          <t>Electrolyte tablets (own brand, 180 tablets)</t>
        </is>
      </c>
      <c r="C31" s="4" t="inlineStr">
        <is>
          <t>swallowed tablet</t>
        </is>
      </c>
      <c r="D31" t="inlineStr">
        <is>
          <t>hydration</t>
        </is>
      </c>
      <c r="E31" s="37" t="n">
        <v>90</v>
      </c>
      <c r="F31" s="38" t="n">
        <v>10</v>
      </c>
      <c r="G31" s="39">
        <f>IF(E31=0,"",F31/E31)</f>
        <v/>
      </c>
      <c r="H31" s="39">
        <f>IF(E31=0,"",G31/(1+'01 Inputs'!$G$11))</f>
        <v/>
      </c>
      <c r="I31" t="inlineStr">
        <is>
          <t>N</t>
        </is>
      </c>
      <c r="J31" t="inlineStr">
        <is>
          <t>N</t>
        </is>
      </c>
      <c r="K31">
        <f>IF(I31="Y",COUNTIFS($I$8:$I$58,"Y",$G$8:$G$58,"&lt;"&amp;G31)+1,"")</f>
        <v/>
      </c>
      <c r="L31">
        <f>IF(J31="Y",COUNTIFS($J$8:$J$58,"Y",$G$8:$G$58,"&lt;"&amp;G31)+1,"")</f>
        <v/>
      </c>
      <c r="M31" s="4" t="inlineStr">
        <is>
          <t>https://www.hollandandbarrett.com/shop/product/electrolyte-180-tablets-6100004680</t>
        </is>
      </c>
      <c r="N31" t="inlineStr">
        <is>
          <t>2026-09-21</t>
        </is>
      </c>
      <c r="O31" t="inlineStr">
        <is>
          <t>low (price from search summary; servings assumption based on</t>
        </is>
      </c>
    </row>
    <row r="32">
      <c r="A32" t="inlineStr">
        <is>
          <t>Red Bull</t>
        </is>
      </c>
      <c r="B32" s="4" t="inlineStr">
        <is>
          <t>Energy Drink</t>
        </is>
      </c>
      <c r="C32" s="4" t="inlineStr">
        <is>
          <t>RTD can</t>
        </is>
      </c>
      <c r="D32" t="inlineStr">
        <is>
          <t>energy</t>
        </is>
      </c>
      <c r="E32" s="37" t="n">
        <v>4</v>
      </c>
      <c r="F32" s="38" t="n">
        <v>5.7</v>
      </c>
      <c r="G32" s="39">
        <f>IF(E32=0,"",F32/E32)</f>
        <v/>
      </c>
      <c r="H32" s="39">
        <f>IF(E32=0,"",G32/(1+'01 Inputs'!$G$11))</f>
        <v/>
      </c>
      <c r="I32" t="inlineStr">
        <is>
          <t>N</t>
        </is>
      </c>
      <c r="J32" t="inlineStr">
        <is>
          <t>N</t>
        </is>
      </c>
      <c r="K32">
        <f>IF(I32="Y",COUNTIFS($I$8:$I$58,"Y",$G$8:$G$58,"&lt;"&amp;G32)+1,"")</f>
        <v/>
      </c>
      <c r="L32">
        <f>IF(J32="Y",COUNTIFS($J$8:$J$58,"Y",$G$8:$G$58,"&lt;"&amp;G32)+1,"")</f>
        <v/>
      </c>
      <c r="M32" s="4" t="inlineStr">
        <is>
          <t>https://www.tesco.com/groceries/en-GB/products/250249801 | https://www.trolley.co.uk/product/red-bull-energy-drink/YKA636</t>
        </is>
      </c>
      <c r="N32" t="inlineStr">
        <is>
          <t>2026-09-21</t>
        </is>
      </c>
      <c r="O32" t="inlineStr">
        <is>
          <t>med (Tesco price from search summary)</t>
        </is>
      </c>
    </row>
    <row r="33">
      <c r="A33" t="inlineStr">
        <is>
          <t>Monster (Coca-Cola)</t>
        </is>
      </c>
      <c r="B33" s="4" t="inlineStr">
        <is>
          <t>Monster Energy Original</t>
        </is>
      </c>
      <c r="C33" s="4" t="inlineStr">
        <is>
          <t>RTD can</t>
        </is>
      </c>
      <c r="D33" t="inlineStr">
        <is>
          <t>energy</t>
        </is>
      </c>
      <c r="E33" s="37" t="n">
        <v>1</v>
      </c>
      <c r="F33" s="38" t="n">
        <v>1.75</v>
      </c>
      <c r="G33" s="39">
        <f>IF(E33=0,"",F33/E33)</f>
        <v/>
      </c>
      <c r="H33" s="39">
        <f>IF(E33=0,"",G33/(1+'01 Inputs'!$G$11))</f>
        <v/>
      </c>
      <c r="I33" t="inlineStr">
        <is>
          <t>N</t>
        </is>
      </c>
      <c r="J33" t="inlineStr">
        <is>
          <t>N</t>
        </is>
      </c>
      <c r="K33">
        <f>IF(I33="Y",COUNTIFS($I$8:$I$58,"Y",$G$8:$G$58,"&lt;"&amp;G33)+1,"")</f>
        <v/>
      </c>
      <c r="L33">
        <f>IF(J33="Y",COUNTIFS($J$8:$J$58,"Y",$G$8:$G$58,"&lt;"&amp;G33)+1,"")</f>
        <v/>
      </c>
      <c r="M33" s="4" t="inlineStr">
        <is>
          <t>https://www.bestwaywholesale.co.uk/product/824427-1 | https://www.monsterenergy.com/en-gb/energy-drinks/monster-energy/original-green/ | https://www.caffeineinformer.com/caffeine-content/monster</t>
        </is>
      </c>
      <c r="N33" t="inlineStr">
        <is>
          <t>2026-09-21</t>
        </is>
      </c>
      <c r="O33" t="inlineStr">
        <is>
          <t xml:space="preserve">low (price is a wholesale price-marked figure, not a retail </t>
        </is>
      </c>
    </row>
    <row r="34">
      <c r="A34" t="inlineStr">
        <is>
          <t>Grenade</t>
        </is>
      </c>
      <c r="B34" s="4" t="inlineStr">
        <is>
          <t>Grenade Energy</t>
        </is>
      </c>
      <c r="C34" s="4" t="inlineStr">
        <is>
          <t>RTD can</t>
        </is>
      </c>
      <c r="D34" t="inlineStr">
        <is>
          <t>energy</t>
        </is>
      </c>
      <c r="E34" s="37" t="n">
        <v>12</v>
      </c>
      <c r="F34" s="38" t="n">
        <v>16</v>
      </c>
      <c r="G34" s="39">
        <f>IF(E34=0,"",F34/E34)</f>
        <v/>
      </c>
      <c r="H34" s="39">
        <f>IF(E34=0,"",G34/(1+'01 Inputs'!$G$11))</f>
        <v/>
      </c>
      <c r="I34" t="inlineStr">
        <is>
          <t>N</t>
        </is>
      </c>
      <c r="J34" t="inlineStr">
        <is>
          <t>N</t>
        </is>
      </c>
      <c r="K34">
        <f>IF(I34="Y",COUNTIFS($I$8:$I$58,"Y",$G$8:$G$58,"&lt;"&amp;G34)+1,"")</f>
        <v/>
      </c>
      <c r="L34">
        <f>IF(J34="Y",COUNTIFS($J$8:$J$58,"Y",$G$8:$G$58,"&lt;"&amp;G34)+1,"")</f>
        <v/>
      </c>
      <c r="M34" s="4" t="inlineStr">
        <is>
          <t>https://proteinpackage.co.uk/products/grenade-energy-drink-box-12-cans | https://row.grenade.com/products/grenade-energy-drink | https://stimjunkie.co.uk/grenade-energy-review/</t>
        </is>
      </c>
      <c r="N34" t="inlineStr">
        <is>
          <t>2026-09-21</t>
        </is>
      </c>
      <c r="O34" t="inlineStr">
        <is>
          <t>low (prices from resellers and a review site; no official UK</t>
        </is>
      </c>
    </row>
    <row r="35">
      <c r="A35" t="inlineStr">
        <is>
          <t>Applied Nutrition</t>
        </is>
      </c>
      <c r="B35" s="4" t="inlineStr">
        <is>
          <t>Creatine Monohydrate Effervescent Tablets</t>
        </is>
      </c>
      <c r="C35" s="4" t="inlineStr">
        <is>
          <t>effervescent tablet in tube</t>
        </is>
      </c>
      <c r="D35" t="inlineStr">
        <is>
          <t>recovery</t>
        </is>
      </c>
      <c r="E35" s="37" t="n">
        <v>8</v>
      </c>
      <c r="F35" s="38" t="n">
        <v>5.95</v>
      </c>
      <c r="G35" s="39">
        <f>IF(E35=0,"",F35/E35)</f>
        <v/>
      </c>
      <c r="H35" s="39">
        <f>IF(E35=0,"",G35/(1+'01 Inputs'!$G$11))</f>
        <v/>
      </c>
      <c r="I35" t="inlineStr">
        <is>
          <t>Y</t>
        </is>
      </c>
      <c r="J35" t="inlineStr">
        <is>
          <t>N</t>
        </is>
      </c>
      <c r="K35">
        <f>IF(I35="Y",COUNTIFS($I$8:$I$58,"Y",$G$8:$G$58,"&lt;"&amp;G35)+1,"")</f>
        <v/>
      </c>
      <c r="L35">
        <f>IF(J35="Y",COUNTIFS($J$8:$J$58,"Y",$G$8:$G$58,"&lt;"&amp;G35)+1,"")</f>
        <v/>
      </c>
      <c r="M35" s="4" t="inlineStr">
        <is>
          <t>https://appliednutrition.uk/products/creatine-monohydrate-effervescent-tablets | https://www.thesupplementstore.co.uk/products/applied-nutrition-effervescent-creatine-tablets | https://www.stack3d.com/2026/04/applied-nutrition-effervescent-creatine/ | https://www.amazon.co.uk/Applied-Nutrition-Creatine-Effervescent-Tablets/dp/B0GY5MXB3N</t>
        </is>
      </c>
      <c r="N35" t="inlineStr">
        <is>
          <t>2026-09-21</t>
        </is>
      </c>
      <c r="O35" t="inlineStr">
        <is>
          <t>med (dose, serving size and ingredient order corroborated ac</t>
        </is>
      </c>
    </row>
    <row r="36">
      <c r="A36" t="inlineStr">
        <is>
          <t>air up</t>
        </is>
      </c>
      <c r="B36" s="4" t="inlineStr">
        <is>
          <t>Scent pods and bottle</t>
        </is>
      </c>
      <c r="C36" s="4" t="inlineStr">
        <is>
          <t>scent pod (retronasal flavouring) + reusable bottle</t>
        </is>
      </c>
      <c r="D36" t="inlineStr">
        <is>
          <t>mixed (flavour only)</t>
        </is>
      </c>
      <c r="E36" s="37" t="n">
        <v>3</v>
      </c>
      <c r="F36" s="38" t="n">
        <v>4.99</v>
      </c>
      <c r="G36" s="39">
        <f>IF(E36=0,"",F36/E36)</f>
        <v/>
      </c>
      <c r="H36" s="39">
        <f>IF(E36=0,"",G36/(1+'01 Inputs'!$G$11))</f>
        <v/>
      </c>
      <c r="I36" t="inlineStr">
        <is>
          <t>N</t>
        </is>
      </c>
      <c r="J36" t="inlineStr">
        <is>
          <t>Y</t>
        </is>
      </c>
      <c r="K36">
        <f>IF(I36="Y",COUNTIFS($I$8:$I$58,"Y",$G$8:$G$58,"&lt;"&amp;G36)+1,"")</f>
        <v/>
      </c>
      <c r="L36">
        <f>IF(J36="Y",COUNTIFS($J$8:$J$58,"Y",$G$8:$G$58,"&lt;"&amp;G36)+1,"")</f>
        <v/>
      </c>
      <c r="M36" s="4" t="inlineStr">
        <is>
          <t>https://shop.air-up.com/gb/en/flavors | https://www.boots.com/air-up-pods-apple-3s-10362094 | https://pricespy.co.uk/s/air-up-pods/ | https://www.bigblue.co/blog/air-ups-recipe-for-success-dazzling-growth-and-8-figure-revenue | https://fiveseasonsventures.medium.com/why-we-led-air-ups-40m-series-b-520200a9f2dc</t>
        </is>
      </c>
      <c r="N36" t="inlineStr">
        <is>
          <t>2026-09-21</t>
        </is>
      </c>
      <c r="O36" t="inlineStr">
        <is>
          <t xml:space="preserve">low (UK pod prices from a price-comparison summary; revenue </t>
        </is>
      </c>
    </row>
    <row r="37">
      <c r="A37" t="inlineStr">
        <is>
          <t>Vitabiotics</t>
        </is>
      </c>
      <c r="B37" s="4" t="inlineStr">
        <is>
          <t>Wellman Original</t>
        </is>
      </c>
      <c r="C37" s="4" t="inlineStr">
        <is>
          <t>swallowed tablet</t>
        </is>
      </c>
      <c r="D37" t="inlineStr">
        <is>
          <t>vitamin</t>
        </is>
      </c>
      <c r="E37" s="37" t="n">
        <v>30</v>
      </c>
      <c r="F37" s="38" t="n">
        <v>8.85</v>
      </c>
      <c r="G37" s="39">
        <f>IF(E37=0,"",F37/E37)</f>
        <v/>
      </c>
      <c r="H37" s="39">
        <f>IF(E37=0,"",G37/(1+'01 Inputs'!$G$11))</f>
        <v/>
      </c>
      <c r="I37" t="inlineStr">
        <is>
          <t>N</t>
        </is>
      </c>
      <c r="J37" t="inlineStr">
        <is>
          <t>Y</t>
        </is>
      </c>
      <c r="K37">
        <f>IF(I37="Y",COUNTIFS($I$8:$I$58,"Y",$G$8:$G$58,"&lt;"&amp;G37)+1,"")</f>
        <v/>
      </c>
      <c r="L37">
        <f>IF(J37="Y",COUNTIFS($J$8:$J$58,"Y",$G$8:$G$58,"&lt;"&amp;G37)+1,"")</f>
        <v/>
      </c>
      <c r="M37" s="4" t="inlineStr">
        <is>
          <t>https://www.vitabiotics.com/products/wellman-original-tablets | https://www.trolley.co.uk/product/vitabiotics-wellman-tablets/RNK235 | https://www.vitabiotics.com/pages/subscribe | https://www.chemistdirect.co.uk/wellman-original-tablets/prd-hj1</t>
        </is>
      </c>
      <c r="N37" t="inlineStr">
        <is>
          <t>2026-09-22</t>
        </is>
      </c>
      <c r="O37" t="inlineStr">
        <is>
          <t>med (official RRP GBP 8.85 and the Subscribe &amp; Save tiers bo</t>
        </is>
      </c>
    </row>
    <row r="38">
      <c r="A38" t="inlineStr">
        <is>
          <t>Vitabiotics</t>
        </is>
      </c>
      <c r="B38" s="4" t="inlineStr">
        <is>
          <t>Wellwoman Original</t>
        </is>
      </c>
      <c r="C38" s="4" t="inlineStr">
        <is>
          <t>swallowed capsule</t>
        </is>
      </c>
      <c r="D38" t="inlineStr">
        <is>
          <t>vitamin</t>
        </is>
      </c>
      <c r="E38" s="37" t="n">
        <v>30</v>
      </c>
      <c r="F38" s="38" t="n">
        <v>8.99</v>
      </c>
      <c r="G38" s="39">
        <f>IF(E38=0,"",F38/E38)</f>
        <v/>
      </c>
      <c r="H38" s="39">
        <f>IF(E38=0,"",G38/(1+'01 Inputs'!$G$11))</f>
        <v/>
      </c>
      <c r="I38" t="inlineStr">
        <is>
          <t>N</t>
        </is>
      </c>
      <c r="J38" t="inlineStr">
        <is>
          <t>Y</t>
        </is>
      </c>
      <c r="K38">
        <f>IF(I38="Y",COUNTIFS($I$8:$I$58,"Y",$G$8:$G$58,"&lt;"&amp;G38)+1,"")</f>
        <v/>
      </c>
      <c r="L38">
        <f>IF(J38="Y",COUNTIFS($J$8:$J$58,"Y",$G$8:$G$58,"&lt;"&amp;G38)+1,"")</f>
        <v/>
      </c>
      <c r="M38" s="4" t="inlineStr">
        <is>
          <t>https://www.medino.com/product/vitabiotics-wellwoman-original-30-capsules | https://www.trolley.co.uk/product/vitabiotics-wellwoman/RVH300 | https://www.vitabiotics.com/products/wellwoman-original-tablets</t>
        </is>
      </c>
      <c r="N38" t="inlineStr">
        <is>
          <t>2026-09-22</t>
        </is>
      </c>
      <c r="O38" t="inlineStr">
        <is>
          <t>low-med (no official RRP obtained; GBP 8.99 is a single name</t>
        </is>
      </c>
    </row>
    <row r="39">
      <c r="A39" t="inlineStr">
        <is>
          <t>Vitabiotics</t>
        </is>
      </c>
      <c r="B39" s="4" t="inlineStr">
        <is>
          <t>Wellman Max</t>
        </is>
      </c>
      <c r="C39" s="4" t="inlineStr">
        <is>
          <t>swallowed tablet + capsule</t>
        </is>
      </c>
      <c r="D39" t="inlineStr">
        <is>
          <t>mixed</t>
        </is>
      </c>
      <c r="E39" s="37" t="n">
        <v>28</v>
      </c>
      <c r="F39" s="38" t="n">
        <v>21</v>
      </c>
      <c r="G39" s="39">
        <f>IF(E39=0,"",F39/E39)</f>
        <v/>
      </c>
      <c r="H39" s="39">
        <f>IF(E39=0,"",G39/(1+'01 Inputs'!$G$11))</f>
        <v/>
      </c>
      <c r="I39" t="inlineStr">
        <is>
          <t>N</t>
        </is>
      </c>
      <c r="J39" t="inlineStr">
        <is>
          <t>Y</t>
        </is>
      </c>
      <c r="K39">
        <f>IF(I39="Y",COUNTIFS($I$8:$I$58,"Y",$G$8:$G$58,"&lt;"&amp;G39)+1,"")</f>
        <v/>
      </c>
      <c r="L39">
        <f>IF(J39="Y",COUNTIFS($J$8:$J$58,"Y",$G$8:$G$58,"&lt;"&amp;G39)+1,"")</f>
        <v/>
      </c>
      <c r="M39" s="4" t="inlineStr">
        <is>
          <t>https://www.pharmacy2u.co.uk/shop/products/Vitabiotics-Wellman-Max-28-Capsules---56-Tablets_0152357 | https://www.idealo.co.uk/compare/6203634/vitabiotics-wellman-max-tablets-84-pcs.html | https://www.vitabiotics.com/products/wellman-max-tablets-and-capsules</t>
        </is>
      </c>
      <c r="N39" t="inlineStr">
        <is>
          <t>2026-09-22</t>
        </is>
      </c>
      <c r="O39" t="inlineStr">
        <is>
          <t>med (price from a named UK pharmacy via search summary; 28-d</t>
        </is>
      </c>
    </row>
    <row r="40">
      <c r="A40" t="inlineStr">
        <is>
          <t>Vitabiotics</t>
        </is>
      </c>
      <c r="B40" s="4" t="inlineStr">
        <is>
          <t>Wellwoman Max</t>
        </is>
      </c>
      <c r="C40" s="4" t="inlineStr">
        <is>
          <t>swallowed tablet + capsule</t>
        </is>
      </c>
      <c r="D40" t="inlineStr">
        <is>
          <t>mixed</t>
        </is>
      </c>
      <c r="E40" s="37" t="n">
        <v>28</v>
      </c>
      <c r="F40" s="38" t="n">
        <v>22.5</v>
      </c>
      <c r="G40" s="39">
        <f>IF(E40=0,"",F40/E40)</f>
        <v/>
      </c>
      <c r="H40" s="39">
        <f>IF(E40=0,"",G40/(1+'01 Inputs'!$G$11))</f>
        <v/>
      </c>
      <c r="I40" t="inlineStr">
        <is>
          <t>N</t>
        </is>
      </c>
      <c r="J40" t="inlineStr">
        <is>
          <t>Y</t>
        </is>
      </c>
      <c r="K40">
        <f>IF(I40="Y",COUNTIFS($I$8:$I$58,"Y",$G$8:$G$58,"&lt;"&amp;G40)+1,"")</f>
        <v/>
      </c>
      <c r="L40">
        <f>IF(J40="Y",COUNTIFS($J$8:$J$58,"Y",$G$8:$G$58,"&lt;"&amp;G40)+1,"")</f>
        <v/>
      </c>
      <c r="M40" s="4" t="inlineStr">
        <is>
          <t>https://www.superdrug.com/health/vitamins-supplements/womens-vitamins/vitabiotics-wellwoman-max-84-tablets-capsules/p/471316 | https://pricespy.co.uk/product.php?p=2975400 | https://www.vitabiotics.com/products/wellwoman-max-tablets-and-capsules</t>
        </is>
      </c>
      <c r="N40" t="inlineStr">
        <is>
          <t>2026-09-22</t>
        </is>
      </c>
      <c r="O40" t="inlineStr">
        <is>
          <t>med (Superdrug price via search summary; 28-day regimen is a</t>
        </is>
      </c>
    </row>
    <row r="41">
      <c r="A41" t="inlineStr">
        <is>
          <t>Vitabiotics</t>
        </is>
      </c>
      <c r="B41" s="4" t="inlineStr">
        <is>
          <t>Feroglobin B12</t>
        </is>
      </c>
      <c r="C41" s="4" t="inlineStr">
        <is>
          <t>swallowed capsule</t>
        </is>
      </c>
      <c r="D41" t="inlineStr">
        <is>
          <t>vitamin</t>
        </is>
      </c>
      <c r="E41" s="37" t="n">
        <v>30</v>
      </c>
      <c r="F41" s="38" t="n">
        <v>3.69</v>
      </c>
      <c r="G41" s="39">
        <f>IF(E41=0,"",F41/E41)</f>
        <v/>
      </c>
      <c r="H41" s="39">
        <f>IF(E41=0,"",G41/(1+'01 Inputs'!$G$11))</f>
        <v/>
      </c>
      <c r="I41" t="inlineStr">
        <is>
          <t>N</t>
        </is>
      </c>
      <c r="J41" t="inlineStr">
        <is>
          <t>Y</t>
        </is>
      </c>
      <c r="K41">
        <f>IF(I41="Y",COUNTIFS($I$8:$I$58,"Y",$G$8:$G$58,"&lt;"&amp;G41)+1,"")</f>
        <v/>
      </c>
      <c r="L41">
        <f>IF(J41="Y",COUNTIFS($J$8:$J$58,"Y",$G$8:$G$58,"&lt;"&amp;G41)+1,"")</f>
        <v/>
      </c>
      <c r="M41" s="4" t="inlineStr">
        <is>
          <t>https://www.savers.co.uk/health-wellbeing/vitamins-supplements/energy-fatigue/vitabiotics-feroglobin-capsules-x30/p/738858 | https://www.idealo.co.uk/compare/4239102/vitabiotics-feroglobin-b12-capsules-30-pcs.html | https://www.boots.com/vitabiotics-feroglobin-capsules-30-capsules-10131412</t>
        </is>
      </c>
      <c r="N41" t="inlineStr">
        <is>
          <t>2026-09-22</t>
        </is>
      </c>
      <c r="O41" t="inlineStr">
        <is>
          <t>low (price is one point in a GBP 3.69-GBP 10.99 spread, from</t>
        </is>
      </c>
    </row>
    <row r="42">
      <c r="A42" t="inlineStr">
        <is>
          <t>Centrum (Haleon)</t>
        </is>
      </c>
      <c r="B42" s="4" t="inlineStr">
        <is>
          <t>Centrum Men Multivitamins &amp; Minerals</t>
        </is>
      </c>
      <c r="C42" s="4" t="inlineStr">
        <is>
          <t>swallowed tablet</t>
        </is>
      </c>
      <c r="D42" t="inlineStr">
        <is>
          <t>vitamin</t>
        </is>
      </c>
      <c r="E42" s="37" t="n">
        <v>60</v>
      </c>
      <c r="F42" s="38" t="n">
        <v>13</v>
      </c>
      <c r="G42" s="39">
        <f>IF(E42=0,"",F42/E42)</f>
        <v/>
      </c>
      <c r="H42" s="39">
        <f>IF(E42=0,"",G42/(1+'01 Inputs'!$G$11))</f>
        <v/>
      </c>
      <c r="I42" t="inlineStr">
        <is>
          <t>N</t>
        </is>
      </c>
      <c r="J42" t="inlineStr">
        <is>
          <t>Y</t>
        </is>
      </c>
      <c r="K42">
        <f>IF(I42="Y",COUNTIFS($I$8:$I$58,"Y",$G$8:$G$58,"&lt;"&amp;G42)+1,"")</f>
        <v/>
      </c>
      <c r="L42">
        <f>IF(J42="Y",COUNTIFS($J$8:$J$58,"Y",$G$8:$G$58,"&lt;"&amp;G42)+1,"")</f>
        <v/>
      </c>
      <c r="M42" s="4" t="inlineStr">
        <is>
          <t>https://www.tesco.com/shop/en-GB/products/323406804 | https://www.boots.com/centrum-men-multivitamins-and-vitamin-60-tablets-10383757</t>
        </is>
      </c>
      <c r="N42" t="inlineStr">
        <is>
          <t>2026-09-22</t>
        </is>
      </c>
      <c r="O42" t="inlineStr">
        <is>
          <t>med (Tesco price from search summary)</t>
        </is>
      </c>
    </row>
    <row r="43">
      <c r="A43" t="inlineStr">
        <is>
          <t>Centrum (Haleon)</t>
        </is>
      </c>
      <c r="B43" s="4" t="inlineStr">
        <is>
          <t>Centrum Women Multivitamins &amp; Minerals</t>
        </is>
      </c>
      <c r="C43" s="4" t="inlineStr">
        <is>
          <t>swallowed tablet</t>
        </is>
      </c>
      <c r="D43" t="inlineStr">
        <is>
          <t>vitamin</t>
        </is>
      </c>
      <c r="E43" s="37" t="n">
        <v>60</v>
      </c>
      <c r="F43" s="38" t="n">
        <v>14.7</v>
      </c>
      <c r="G43" s="39">
        <f>IF(E43=0,"",F43/E43)</f>
        <v/>
      </c>
      <c r="H43" s="39">
        <f>IF(E43=0,"",G43/(1+'01 Inputs'!$G$11))</f>
        <v/>
      </c>
      <c r="I43" t="inlineStr">
        <is>
          <t>N</t>
        </is>
      </c>
      <c r="J43" t="inlineStr">
        <is>
          <t>Y</t>
        </is>
      </c>
      <c r="K43">
        <f>IF(I43="Y",COUNTIFS($I$8:$I$58,"Y",$G$8:$G$58,"&lt;"&amp;G43)+1,"")</f>
        <v/>
      </c>
      <c r="L43">
        <f>IF(J43="Y",COUNTIFS($J$8:$J$58,"Y",$G$8:$G$58,"&lt;"&amp;G43)+1,"")</f>
        <v/>
      </c>
      <c r="M43" s="4" t="inlineStr">
        <is>
          <t>https://www.superdrug.com/health/vitamins-supplements/multi-vitamins/centrum-women-multivitamins-and-minerals-60-tablets/p/837472 | https://www.boots.com/centrum-women-60-tablets-10162685 | https://www.tesco.com/groceries/en-GB/products/282537918</t>
        </is>
      </c>
      <c r="N43" t="inlineStr">
        <is>
          <t>2026-09-22</t>
        </is>
      </c>
      <c r="O43" t="inlineStr">
        <is>
          <t>med (Superdrug price from search summary)</t>
        </is>
      </c>
    </row>
    <row r="44">
      <c r="A44" t="inlineStr">
        <is>
          <t>Boots</t>
        </is>
      </c>
      <c r="B44" s="4" t="inlineStr">
        <is>
          <t>Boots Complete Man 50+ Multivitamins</t>
        </is>
      </c>
      <c r="C44" s="4" t="inlineStr">
        <is>
          <t>swallowed tablet</t>
        </is>
      </c>
      <c r="D44" t="inlineStr">
        <is>
          <t>vitamin</t>
        </is>
      </c>
      <c r="E44" s="37" t="n">
        <v>30</v>
      </c>
      <c r="F44" s="38" t="n">
        <v>6</v>
      </c>
      <c r="G44" s="39">
        <f>IF(E44=0,"",F44/E44)</f>
        <v/>
      </c>
      <c r="H44" s="39">
        <f>IF(E44=0,"",G44/(1+'01 Inputs'!$G$11))</f>
        <v/>
      </c>
      <c r="I44" t="inlineStr">
        <is>
          <t>N</t>
        </is>
      </c>
      <c r="J44" t="inlineStr">
        <is>
          <t>Y</t>
        </is>
      </c>
      <c r="K44">
        <f>IF(I44="Y",COUNTIFS($I$8:$I$58,"Y",$G$8:$G$58,"&lt;"&amp;G44)+1,"")</f>
        <v/>
      </c>
      <c r="L44">
        <f>IF(J44="Y",COUNTIFS($J$8:$J$58,"Y",$G$8:$G$58,"&lt;"&amp;G44)+1,"")</f>
        <v/>
      </c>
      <c r="M44" s="4" t="inlineStr">
        <is>
          <t>https://www.boots.com/boots-complete-man-50-30-tablets-10256969 | https://www.trolley.co.uk/product/boots-complete-man-50-multivitamins-30-tablets/DBB437 | https://www.boots.com/boots-complete-man-30-tablets-10254260</t>
        </is>
      </c>
      <c r="N44" t="inlineStr">
        <is>
          <t>2026-09-22</t>
        </is>
      </c>
      <c r="O44" t="inlineStr">
        <is>
          <t xml:space="preserve">med (usual price GBP 6.00 via trolley summary; the GBP 3.00 </t>
        </is>
      </c>
    </row>
    <row r="45">
      <c r="A45" t="inlineStr">
        <is>
          <t>Boots</t>
        </is>
      </c>
      <c r="B45" s="4" t="inlineStr">
        <is>
          <t>Boots Multivitamins for Women</t>
        </is>
      </c>
      <c r="C45" s="4" t="inlineStr">
        <is>
          <t>swallowed tablet</t>
        </is>
      </c>
      <c r="D45" t="inlineStr">
        <is>
          <t>vitamin</t>
        </is>
      </c>
      <c r="E45" s="37" t="n">
        <v>30</v>
      </c>
      <c r="F45" s="38" t="n">
        <v>6</v>
      </c>
      <c r="G45" s="39">
        <f>IF(E45=0,"",F45/E45)</f>
        <v/>
      </c>
      <c r="H45" s="39">
        <f>IF(E45=0,"",G45/(1+'01 Inputs'!$G$11))</f>
        <v/>
      </c>
      <c r="I45" t="inlineStr">
        <is>
          <t>N</t>
        </is>
      </c>
      <c r="J45" t="inlineStr">
        <is>
          <t>Y</t>
        </is>
      </c>
      <c r="K45">
        <f>IF(I45="Y",COUNTIFS($I$8:$I$58,"Y",$G$8:$G$58,"&lt;"&amp;G45)+1,"")</f>
        <v/>
      </c>
      <c r="L45">
        <f>IF(J45="Y",COUNTIFS($J$8:$J$58,"Y",$G$8:$G$58,"&lt;"&amp;G45)+1,"")</f>
        <v/>
      </c>
      <c r="M45" s="4" t="inlineStr">
        <is>
          <t>https://www.boots.com/boots-multivitamins-for-women-30-tablets-10338712 | https://www.boots.com/boots-multivitamins-for-women-50-30-tablets-10338713</t>
        </is>
      </c>
      <c r="N45" t="inlineStr">
        <is>
          <t>2026-09-22</t>
        </is>
      </c>
      <c r="O45" t="inlineStr">
        <is>
          <t>med (price via search summary)</t>
        </is>
      </c>
    </row>
    <row r="46">
      <c r="A46" t="inlineStr">
        <is>
          <t>Tesco</t>
        </is>
      </c>
      <c r="B46" s="4" t="inlineStr">
        <is>
          <t>Tesco Health 50+ A-Z Multivitamin &amp; Minerals</t>
        </is>
      </c>
      <c r="C46" s="4" t="inlineStr">
        <is>
          <t>swallowed tablet</t>
        </is>
      </c>
      <c r="D46" t="inlineStr">
        <is>
          <t>vitamin</t>
        </is>
      </c>
      <c r="E46" s="37" t="n">
        <v>60</v>
      </c>
      <c r="F46" s="38" t="n">
        <v>3.95</v>
      </c>
      <c r="G46" s="39">
        <f>IF(E46=0,"",F46/E46)</f>
        <v/>
      </c>
      <c r="H46" s="39">
        <f>IF(E46=0,"",G46/(1+'01 Inputs'!$G$11))</f>
        <v/>
      </c>
      <c r="I46" t="inlineStr">
        <is>
          <t>N</t>
        </is>
      </c>
      <c r="J46" t="inlineStr">
        <is>
          <t>Y</t>
        </is>
      </c>
      <c r="K46">
        <f>IF(I46="Y",COUNTIFS($I$8:$I$58,"Y",$G$8:$G$58,"&lt;"&amp;G46)+1,"")</f>
        <v/>
      </c>
      <c r="L46">
        <f>IF(J46="Y",COUNTIFS($J$8:$J$58,"Y",$G$8:$G$58,"&lt;"&amp;G46)+1,"")</f>
        <v/>
      </c>
      <c r="M46" s="4" t="inlineStr">
        <is>
          <t>https://www.tesco.com/shop/en-GB/products/318074713 | https://www.trolley.co.uk/product/tesco-a-z-multivitamins-minerals/ZDJ153</t>
        </is>
      </c>
      <c r="N46" t="inlineStr">
        <is>
          <t>2026-09-22</t>
        </is>
      </c>
      <c r="O46" t="inlineStr">
        <is>
          <t>med (price via search summary of a price-comparison listing)</t>
        </is>
      </c>
    </row>
    <row r="47">
      <c r="A47" t="inlineStr">
        <is>
          <t>Sainsbury's</t>
        </is>
      </c>
      <c r="B47" s="4" t="inlineStr">
        <is>
          <t>Sainsbury's Multivitamins &amp; Iron</t>
        </is>
      </c>
      <c r="C47" s="4" t="inlineStr">
        <is>
          <t>swallowed tablet</t>
        </is>
      </c>
      <c r="D47" t="inlineStr">
        <is>
          <t>vitamin</t>
        </is>
      </c>
      <c r="E47" s="37" t="n">
        <v>180</v>
      </c>
      <c r="F47" s="38" t="n">
        <v>3.9</v>
      </c>
      <c r="G47" s="39">
        <f>IF(E47=0,"",F47/E47)</f>
        <v/>
      </c>
      <c r="H47" s="39">
        <f>IF(E47=0,"",G47/(1+'01 Inputs'!$G$11))</f>
        <v/>
      </c>
      <c r="I47" t="inlineStr">
        <is>
          <t>N</t>
        </is>
      </c>
      <c r="J47" t="inlineStr">
        <is>
          <t>Y</t>
        </is>
      </c>
      <c r="K47">
        <f>IF(I47="Y",COUNTIFS($I$8:$I$58,"Y",$G$8:$G$58,"&lt;"&amp;G47)+1,"")</f>
        <v/>
      </c>
      <c r="L47">
        <f>IF(J47="Y",COUNTIFS($J$8:$J$58,"Y",$G$8:$G$58,"&lt;"&amp;G47)+1,"")</f>
        <v/>
      </c>
      <c r="M47" s="4" t="inlineStr">
        <is>
          <t>https://www.trolley.co.uk/product/sainsburys-multivitamins-iron/PAT089 | https://www.sainsburys.co.uk/gol-ui/groceries/toiletries-and-health/vitamins/multivitamins/c:1053932</t>
        </is>
      </c>
      <c r="N47" t="inlineStr">
        <is>
          <t>2026-09-22</t>
        </is>
      </c>
      <c r="O47" t="inlineStr">
        <is>
          <t>med (price via search summary of a price-comparison listing)</t>
        </is>
      </c>
    </row>
    <row r="48">
      <c r="A48" t="inlineStr">
        <is>
          <t>Asda</t>
        </is>
      </c>
      <c r="B48" s="4" t="inlineStr">
        <is>
          <t>Asda Wellbeing Multivitamins &amp; Iron 1 a Day</t>
        </is>
      </c>
      <c r="C48" s="4" t="inlineStr">
        <is>
          <t>swallowed tablet</t>
        </is>
      </c>
      <c r="D48" t="inlineStr">
        <is>
          <t>vitamin</t>
        </is>
      </c>
      <c r="E48" s="37" t="n">
        <v>90</v>
      </c>
      <c r="F48" s="38" t="n">
        <v>3.8</v>
      </c>
      <c r="G48" s="39">
        <f>IF(E48=0,"",F48/E48)</f>
        <v/>
      </c>
      <c r="H48" s="39">
        <f>IF(E48=0,"",G48/(1+'01 Inputs'!$G$11))</f>
        <v/>
      </c>
      <c r="I48" t="inlineStr">
        <is>
          <t>N</t>
        </is>
      </c>
      <c r="J48" t="inlineStr">
        <is>
          <t>Y</t>
        </is>
      </c>
      <c r="K48">
        <f>IF(I48="Y",COUNTIFS($I$8:$I$58,"Y",$G$8:$G$58,"&lt;"&amp;G48)+1,"")</f>
        <v/>
      </c>
      <c r="L48">
        <f>IF(J48="Y",COUNTIFS($J$8:$J$58,"Y",$G$8:$G$58,"&lt;"&amp;G48)+1,"")</f>
        <v/>
      </c>
      <c r="M48" s="4" t="inlineStr">
        <is>
          <t>https://www.trolley.co.uk/product/asda-a-z-multivitamins-minerals-wellbeing-tablets/AIG077 | https://www.asda.com/groceries/health-wellness/vitamins-supplements/adult-multivitamins</t>
        </is>
      </c>
      <c r="N48" t="inlineStr">
        <is>
          <t>2026-09-22</t>
        </is>
      </c>
      <c r="O48" t="inlineStr">
        <is>
          <t>low-med (price via search summary; exact SKU matching uncert</t>
        </is>
      </c>
    </row>
    <row r="49">
      <c r="A49" t="inlineStr">
        <is>
          <t>Superdrug</t>
        </is>
      </c>
      <c r="B49" s="4" t="inlineStr">
        <is>
          <t>Superdrug Multi-Vitamins With Iron</t>
        </is>
      </c>
      <c r="C49" s="4" t="inlineStr">
        <is>
          <t>swallowed tablet</t>
        </is>
      </c>
      <c r="D49" t="inlineStr">
        <is>
          <t>vitamin</t>
        </is>
      </c>
      <c r="E49" s="37" t="n">
        <v>180</v>
      </c>
      <c r="F49" s="38" t="n">
        <v>6.49</v>
      </c>
      <c r="G49" s="39">
        <f>IF(E49=0,"",F49/E49)</f>
        <v/>
      </c>
      <c r="H49" s="39">
        <f>IF(E49=0,"",G49/(1+'01 Inputs'!$G$11))</f>
        <v/>
      </c>
      <c r="I49" t="inlineStr">
        <is>
          <t>N</t>
        </is>
      </c>
      <c r="J49" t="inlineStr">
        <is>
          <t>Y</t>
        </is>
      </c>
      <c r="K49">
        <f>IF(I49="Y",COUNTIFS($I$8:$I$58,"Y",$G$8:$G$58,"&lt;"&amp;G49)+1,"")</f>
        <v/>
      </c>
      <c r="L49">
        <f>IF(J49="Y",COUNTIFS($J$8:$J$58,"Y",$G$8:$G$58,"&lt;"&amp;G49)+1,"")</f>
        <v/>
      </c>
      <c r="M49" s="4" t="inlineStr">
        <is>
          <t>https://www.superdrug.com/health/vitamins-supplements/multi-vitamins/superdrug-multi-vitamins-with-iron-180s/p/822678 | https://www.superdrug.com/health/vitamins-supplements/vitamins-for-men/superdrug-mens-health-30-tablets/p/743657</t>
        </is>
      </c>
      <c r="N49" t="inlineStr">
        <is>
          <t>2026-09-22</t>
        </is>
      </c>
      <c r="O49" t="inlineStr">
        <is>
          <t>med (price via search summary)</t>
        </is>
      </c>
    </row>
    <row r="50">
      <c r="A50" t="inlineStr">
        <is>
          <t>Together Health</t>
        </is>
      </c>
      <c r="B50" s="4" t="inlineStr">
        <is>
          <t>WholeVit Women's Multivitamin &amp; Mineral</t>
        </is>
      </c>
      <c r="C50" s="4" t="inlineStr">
        <is>
          <t>swallowed capsule</t>
        </is>
      </c>
      <c r="D50" t="inlineStr">
        <is>
          <t>vitamin</t>
        </is>
      </c>
      <c r="E50" s="37" t="n">
        <v>30</v>
      </c>
      <c r="F50" s="38" t="n">
        <v>9.99</v>
      </c>
      <c r="G50" s="39">
        <f>IF(E50=0,"",F50/E50)</f>
        <v/>
      </c>
      <c r="H50" s="39">
        <f>IF(E50=0,"",G50/(1+'01 Inputs'!$G$11))</f>
        <v/>
      </c>
      <c r="I50" t="inlineStr">
        <is>
          <t>N</t>
        </is>
      </c>
      <c r="J50" t="inlineStr">
        <is>
          <t>Y</t>
        </is>
      </c>
      <c r="K50">
        <f>IF(I50="Y",COUNTIFS($I$8:$I$58,"Y",$G$8:$G$58,"&lt;"&amp;G50)+1,"")</f>
        <v/>
      </c>
      <c r="L50">
        <f>IF(J50="Y",COUNTIFS($J$8:$J$58,"Y",$G$8:$G$58,"&lt;"&amp;G50)+1,"")</f>
        <v/>
      </c>
      <c r="M50" s="4" t="inlineStr">
        <is>
          <t>https://www.hollandandbarrett.com/shop/product/together-health-wholevits-woman-s-multivitamin-capsules-60007193 | https://www.hollandandbarrett.com/shop/product/together-health-wholevits-men-s-multivitamin-capsules-60007194 | https://www.superdrug.com/health/vitamins-supplements/multi-vitamins/together-health-multivitamin-vegan-30-capsules/p/mp-00011290</t>
        </is>
      </c>
      <c r="N50" t="inlineStr">
        <is>
          <t>2026-09-22</t>
        </is>
      </c>
      <c r="O50" t="inlineStr">
        <is>
          <t>low-med ('from' price via search summary)</t>
        </is>
      </c>
    </row>
    <row r="51">
      <c r="A51" t="inlineStr">
        <is>
          <t>Solgar</t>
        </is>
      </c>
      <c r="B51" s="4" t="inlineStr">
        <is>
          <t>Formula VM-75 Multivitamin</t>
        </is>
      </c>
      <c r="C51" s="4" t="inlineStr">
        <is>
          <t>swallowed tablet</t>
        </is>
      </c>
      <c r="D51" t="inlineStr">
        <is>
          <t>vitamin</t>
        </is>
      </c>
      <c r="E51" s="37" t="n">
        <v>30</v>
      </c>
      <c r="F51" s="38" t="n">
        <v>14</v>
      </c>
      <c r="G51" s="39">
        <f>IF(E51=0,"",F51/E51)</f>
        <v/>
      </c>
      <c r="H51" s="39">
        <f>IF(E51=0,"",G51/(1+'01 Inputs'!$G$11))</f>
        <v/>
      </c>
      <c r="I51" t="inlineStr">
        <is>
          <t>N</t>
        </is>
      </c>
      <c r="J51" t="inlineStr">
        <is>
          <t>Y</t>
        </is>
      </c>
      <c r="K51">
        <f>IF(I51="Y",COUNTIFS($I$8:$I$58,"Y",$G$8:$G$58,"&lt;"&amp;G51)+1,"")</f>
        <v/>
      </c>
      <c r="L51">
        <f>IF(J51="Y",COUNTIFS($J$8:$J$58,"Y",$G$8:$G$58,"&lt;"&amp;G51)+1,"")</f>
        <v/>
      </c>
      <c r="M51" s="4" t="inlineStr">
        <is>
          <t>https://solgar.co.uk/products/solgar-formula-vm-75-tablets | https://www.hollandandbarrett.com/shop/product/solgar-formula-vm-75-tablets-60001399 | https://www.dolphinfitness.co.uk/en/solgar-formula-vm75-90-tablets/1741</t>
        </is>
      </c>
      <c r="N51" t="inlineStr">
        <is>
          <t>2026-09-22</t>
        </is>
      </c>
      <c r="O51" t="inlineStr">
        <is>
          <t>med (brand's own UK store price via search summary, corrobor</t>
        </is>
      </c>
    </row>
    <row r="52">
      <c r="A52" t="inlineStr">
        <is>
          <t>Wild Nutrition</t>
        </is>
      </c>
      <c r="B52" s="4" t="inlineStr">
        <is>
          <t>Food-Grown Women's 45+ Daily Multi Nutrient</t>
        </is>
      </c>
      <c r="C52" s="4" t="inlineStr">
        <is>
          <t>swallowed capsule</t>
        </is>
      </c>
      <c r="D52" t="inlineStr">
        <is>
          <t>vitamin</t>
        </is>
      </c>
      <c r="E52" s="37" t="n">
        <v>30</v>
      </c>
      <c r="F52" s="38" t="n">
        <v>30.4</v>
      </c>
      <c r="G52" s="39">
        <f>IF(E52=0,"",F52/E52)</f>
        <v/>
      </c>
      <c r="H52" s="39">
        <f>IF(E52=0,"",G52/(1+'01 Inputs'!$G$11))</f>
        <v/>
      </c>
      <c r="I52" t="inlineStr">
        <is>
          <t>N</t>
        </is>
      </c>
      <c r="J52" t="inlineStr">
        <is>
          <t>Y</t>
        </is>
      </c>
      <c r="K52">
        <f>IF(I52="Y",COUNTIFS($I$8:$I$58,"Y",$G$8:$G$58,"&lt;"&amp;G52)+1,"")</f>
        <v/>
      </c>
      <c r="L52">
        <f>IF(J52="Y",COUNTIFS($J$8:$J$58,"Y",$G$8:$G$58,"&lt;"&amp;G52)+1,"")</f>
        <v/>
      </c>
      <c r="M52" s="4" t="inlineStr">
        <is>
          <t>https://www.planetorganic.com/products/wild-nutrition-bespoke-woman-daily-multi-nutrient-45-60-caps | https://www.wildnutrition.com/products/food-grown-daily-multi-nutrient-womens | https://www.hollandandbarrett.com/shop/product/wild-nutrition-food-grown-daily-multi-nutrient-45for-women-60-capsules-6100002058 | https://www.sainsburys.co.uk/gol-ui/product/wild-nutrition-food-grown-daily-multi-nutri</t>
        </is>
      </c>
      <c r="N52" t="inlineStr">
        <is>
          <t>2026-09-22</t>
        </is>
      </c>
      <c r="O52" t="inlineStr">
        <is>
          <t>med (retailer price via search summary; 2-capsules-per-day d</t>
        </is>
      </c>
    </row>
    <row r="53">
      <c r="A53" t="inlineStr">
        <is>
          <t>Vitl</t>
        </is>
      </c>
      <c r="B53" s="4" t="inlineStr">
        <is>
          <t>Essential One personalised multivitamin</t>
        </is>
      </c>
      <c r="C53" s="4" t="inlineStr">
        <is>
          <t>swallowed capsule (personalised)</t>
        </is>
      </c>
      <c r="D53" t="inlineStr">
        <is>
          <t>vitamin</t>
        </is>
      </c>
      <c r="E53" s="37" t="n">
        <v>30</v>
      </c>
      <c r="F53" s="38" t="n">
        <v>14.95</v>
      </c>
      <c r="G53" s="39">
        <f>IF(E53=0,"",F53/E53)</f>
        <v/>
      </c>
      <c r="H53" s="39">
        <f>IF(E53=0,"",G53/(1+'01 Inputs'!$G$11))</f>
        <v/>
      </c>
      <c r="I53" t="inlineStr">
        <is>
          <t>N</t>
        </is>
      </c>
      <c r="J53" t="inlineStr">
        <is>
          <t>Y</t>
        </is>
      </c>
      <c r="K53">
        <f>IF(I53="Y",COUNTIFS($I$8:$I$58,"Y",$G$8:$G$58,"&lt;"&amp;G53)+1,"")</f>
        <v/>
      </c>
      <c r="L53">
        <f>IF(J53="Y",COUNTIFS($J$8:$J$58,"Y",$G$8:$G$58,"&lt;"&amp;G53)+1,"")</f>
        <v/>
      </c>
      <c r="M53" s="4" t="inlineStr">
        <is>
          <t>https://vitl.com/products/essential-one | https://totum.com/discount/vitl/sale-offer | https://intercom.help/vitl/en/articles/3924319-what-s-the-difference-between-the-personalised-pack-and-the-essential-one</t>
        </is>
      </c>
      <c r="N53" t="inlineStr">
        <is>
          <t>2026-09-22</t>
        </is>
      </c>
      <c r="O53" t="inlineStr">
        <is>
          <t xml:space="preserve">low (price is a promotional 'worth GBP 14.95' figure from a </t>
        </is>
      </c>
    </row>
    <row r="54">
      <c r="A54" t="inlineStr">
        <is>
          <t>AG1 (Athletic Greens)</t>
        </is>
      </c>
      <c r="B54" s="4" t="inlineStr">
        <is>
          <t>AG1 daily greens &amp; micronutrient powder</t>
        </is>
      </c>
      <c r="C54" s="4" t="inlineStr">
        <is>
          <t>powder pouch (dissolved in water)</t>
        </is>
      </c>
      <c r="D54" t="inlineStr">
        <is>
          <t>mixed</t>
        </is>
      </c>
      <c r="E54" s="37" t="n">
        <v>30</v>
      </c>
      <c r="F54" s="38" t="n">
        <v>97</v>
      </c>
      <c r="G54" s="39">
        <f>IF(E54=0,"",F54/E54)</f>
        <v/>
      </c>
      <c r="H54" s="39">
        <f>IF(E54=0,"",G54/(1+'01 Inputs'!$G$11))</f>
        <v/>
      </c>
      <c r="I54" t="inlineStr">
        <is>
          <t>N</t>
        </is>
      </c>
      <c r="J54" t="inlineStr">
        <is>
          <t>Y</t>
        </is>
      </c>
      <c r="K54">
        <f>IF(I54="Y",COUNTIFS($I$8:$I$58,"Y",$G$8:$G$58,"&lt;"&amp;G54)+1,"")</f>
        <v/>
      </c>
      <c r="L54">
        <f>IF(J54="Y",COUNTIFS($J$8:$J$58,"Y",$G$8:$G$58,"&lt;"&amp;G54)+1,"")</f>
        <v/>
      </c>
      <c r="M54" s="4" t="inlineStr">
        <is>
          <t>https://drinkag1.com/en-uk/impressum | https://drinkag1.com/en-eu/is-ag1-worth-it-ag1-price | https://www.topnutritioncoaching.com/blog/ag1-review | https://www.garagegymreviews.com/athletic-greens-review</t>
        </is>
      </c>
      <c r="N54" t="inlineStr">
        <is>
          <t>2026-09-22</t>
        </is>
      </c>
      <c r="O54" t="inlineStr">
        <is>
          <t>med (UK GBP prices corroborated across two independent revie</t>
        </is>
      </c>
    </row>
    <row r="55">
      <c r="A55" t="inlineStr">
        <is>
          <t>LYMA</t>
        </is>
      </c>
      <c r="B55" s="4" t="inlineStr">
        <is>
          <t>LYMA Supplement</t>
        </is>
      </c>
      <c r="C55" s="4" t="inlineStr">
        <is>
          <t>swallowed capsule</t>
        </is>
      </c>
      <c r="D55" t="inlineStr">
        <is>
          <t>mixed</t>
        </is>
      </c>
      <c r="E55" s="37" t="n">
        <v>30</v>
      </c>
      <c r="F55" s="38" t="n">
        <v>199</v>
      </c>
      <c r="G55" s="39">
        <f>IF(E55=0,"",F55/E55)</f>
        <v/>
      </c>
      <c r="H55" s="39">
        <f>IF(E55=0,"",G55/(1+'01 Inputs'!$G$11))</f>
        <v/>
      </c>
      <c r="I55" t="inlineStr">
        <is>
          <t>N</t>
        </is>
      </c>
      <c r="J55" t="inlineStr">
        <is>
          <t>Y</t>
        </is>
      </c>
      <c r="K55">
        <f>IF(I55="Y",COUNTIFS($I$8:$I$58,"Y",$G$8:$G$58,"&lt;"&amp;G55)+1,"")</f>
        <v/>
      </c>
      <c r="L55">
        <f>IF(J55="Y",COUNTIFS($J$8:$J$58,"Y",$G$8:$G$58,"&lt;"&amp;G55)+1,"")</f>
        <v/>
      </c>
      <c r="M55" s="4" t="inlineStr">
        <is>
          <t>https://lyma.life/products/lyma-supplement-starter-kit-v4 | https://johnbellcroyden.co.uk/products/lyma-one-month-starter-kit | https://johnbellcroyden.co.uk/products/lyma-supplement-refill | https://lyma.life/en-us/pages/lyma-supplement-uk</t>
        </is>
      </c>
      <c r="N55" t="inlineStr">
        <is>
          <t>2026-09-22</t>
        </is>
      </c>
      <c r="O55" t="inlineStr">
        <is>
          <t>med (starter kit GBP 199 and refill GBP 149 corroborated acr</t>
        </is>
      </c>
    </row>
    <row r="56">
      <c r="A56" t="inlineStr">
        <is>
          <t>Myprotein</t>
        </is>
      </c>
      <c r="B56" s="4" t="inlineStr">
        <is>
          <t>Creatine Monohydrate Powder</t>
        </is>
      </c>
      <c r="C56" s="4" t="inlineStr">
        <is>
          <t>powder tub</t>
        </is>
      </c>
      <c r="D56" t="inlineStr">
        <is>
          <t>recovery</t>
        </is>
      </c>
      <c r="E56" s="37" t="n">
        <v>200</v>
      </c>
      <c r="F56" s="38" t="n">
        <v>26.49</v>
      </c>
      <c r="G56" s="39">
        <f>IF(E56=0,"",F56/E56)</f>
        <v/>
      </c>
      <c r="H56" s="39">
        <f>IF(E56=0,"",G56/(1+'01 Inputs'!$G$11))</f>
        <v/>
      </c>
      <c r="I56" t="inlineStr">
        <is>
          <t>N</t>
        </is>
      </c>
      <c r="J56" t="inlineStr">
        <is>
          <t>N</t>
        </is>
      </c>
      <c r="K56">
        <f>IF(I56="Y",COUNTIFS($I$8:$I$58,"Y",$G$8:$G$58,"&lt;"&amp;G56)+1,"")</f>
        <v/>
      </c>
      <c r="L56">
        <f>IF(J56="Y",COUNTIFS($J$8:$J$58,"Y",$G$8:$G$58,"&lt;"&amp;G56)+1,"")</f>
        <v/>
      </c>
      <c r="M56" s="4" t="inlineStr">
        <is>
          <t>https://www.myprotein.com/p/sports-nutrition/creatine-monohydrate-powder/10530050/ | https://www.dolphinfitness.co.uk/en/myprotein-creatine-1000g/32969 | https://www.idealo.co.uk/compare/4185214/myprotein-creatine-monohydrate-1000g.html | https://pricespy.co.uk/product.php?p=1558535</t>
        </is>
      </c>
      <c r="N56" t="inlineStr">
        <is>
          <t>2026-09-22</t>
        </is>
      </c>
      <c r="O56" t="inlineStr">
        <is>
          <t>med (price corroborated across two price-comparison summarie</t>
        </is>
      </c>
    </row>
    <row r="57">
      <c r="A57" t="inlineStr">
        <is>
          <t>Novomins</t>
        </is>
      </c>
      <c r="B57" s="4" t="inlineStr">
        <is>
          <t>Creatine Monohydrate Gummies 5000 mg</t>
        </is>
      </c>
      <c r="C57" s="4" t="inlineStr">
        <is>
          <t>gummy</t>
        </is>
      </c>
      <c r="D57" t="inlineStr">
        <is>
          <t>recovery</t>
        </is>
      </c>
      <c r="E57" s="37" t="n">
        <v>30</v>
      </c>
      <c r="F57" s="38" t="n">
        <v>24.99</v>
      </c>
      <c r="G57" s="39">
        <f>IF(E57=0,"",F57/E57)</f>
        <v/>
      </c>
      <c r="H57" s="39">
        <f>IF(E57=0,"",G57/(1+'01 Inputs'!$G$11))</f>
        <v/>
      </c>
      <c r="I57" t="inlineStr">
        <is>
          <t>N</t>
        </is>
      </c>
      <c r="J57" t="inlineStr">
        <is>
          <t>N</t>
        </is>
      </c>
      <c r="K57">
        <f>IF(I57="Y",COUNTIFS($I$8:$I$58,"Y",$G$8:$G$58,"&lt;"&amp;G57)+1,"")</f>
        <v/>
      </c>
      <c r="L57">
        <f>IF(J57="Y",COUNTIFS($J$8:$J$58,"Y",$G$8:$G$58,"&lt;"&amp;G57)+1,"")</f>
        <v/>
      </c>
      <c r="M57" s="4" t="inlineStr">
        <is>
          <t>https://www.hollandandbarrett.com/shop/sports-nutrition/creatine/creatine-gummies/ | https://novomins.com/products/creatine-gummies | https://www.chemcopharmacy.com/products/novomins-creatine-5000mg-strawberry-gummies-90-pack</t>
        </is>
      </c>
      <c r="N57" t="inlineStr">
        <is>
          <t>2026-09-22</t>
        </is>
      </c>
      <c r="O57" t="inlineStr">
        <is>
          <t>low-med (H&amp;B price via search summary; servings-per-pack res</t>
        </is>
      </c>
    </row>
    <row r="58">
      <c r="A58" t="inlineStr">
        <is>
          <t>Ankhway (ATC MN LTD)</t>
        </is>
      </c>
      <c r="B58" s="4" t="inlineStr">
        <is>
          <t>10-in-1 Mushroom Gummies</t>
        </is>
      </c>
      <c r="C58" s="4" t="inlineStr">
        <is>
          <t>gummy</t>
        </is>
      </c>
      <c r="D58" t="inlineStr">
        <is>
          <t>adaptogen</t>
        </is>
      </c>
      <c r="E58" s="37" t="n">
        <v>30</v>
      </c>
      <c r="F58" s="38" t="n">
        <v>29.99</v>
      </c>
      <c r="G58" s="39">
        <f>IF(E58=0,"",F58/E58)</f>
        <v/>
      </c>
      <c r="H58" s="39">
        <f>IF(E58=0,"",G58/(1+'01 Inputs'!$G$11))</f>
        <v/>
      </c>
      <c r="I58" t="inlineStr">
        <is>
          <t>N</t>
        </is>
      </c>
      <c r="J58" t="inlineStr">
        <is>
          <t>Y</t>
        </is>
      </c>
      <c r="K58">
        <f>IF(I58="Y",COUNTIFS($I$8:$I$58,"Y",$G$8:$G$58,"&lt;"&amp;G58)+1,"")</f>
        <v/>
      </c>
      <c r="L58">
        <f>IF(J58="Y",COUNTIFS($J$8:$J$58,"Y",$G$8:$G$58,"&lt;"&amp;G58)+1,"")</f>
        <v/>
      </c>
      <c r="M58" s="4" t="inlineStr">
        <is>
          <t>https://ankhway.com/products/mushroom-gummies | https://ankhway.com/ | https://www.amazon.co.uk/Ankhway-10-Mushroom-Gummies-Supplement/dp/B0CMWRQ4GT | https://topshelfmushrooms.com/ankhway-mushroom-gummies-review-2026-formula-verified/ | https://ankhway.com/pages/lions-mane-mushroom</t>
        </is>
      </c>
      <c r="N58" t="inlineStr">
        <is>
          <t>2026-09-22</t>
        </is>
      </c>
      <c r="O58" t="inlineStr">
        <is>
          <t>low-med (brand and product existence CONFIRMED across the br</t>
        </is>
      </c>
    </row>
    <row r="60">
      <c r="A60" s="3" t="inlineStr">
        <is>
          <t>LADDER SUMMARY (live)</t>
        </is>
      </c>
    </row>
    <row r="61">
      <c r="A61" t="inlineStr">
        <is>
          <t>Cheapest in the effervescent set (set INCLUDES V-Drop's own proposed rows)</t>
        </is>
      </c>
      <c r="B61" s="39">
        <f>INDEX($G$8:$G$58,MATCH(1,$K$8:$K$58,0))</f>
        <v/>
      </c>
    </row>
    <row r="62">
      <c r="A62" t="inlineStr">
        <is>
          <t>Dearest in the effervescent set (set INCLUDES V-Drop's own proposed rows)</t>
        </is>
      </c>
      <c r="B62" s="39">
        <f>INDEX($G$8:$G$58,MATCH(MAX($K$8:$K$58),$K$8:$K$58,0))</f>
        <v/>
      </c>
    </row>
    <row r="63">
      <c r="A63" t="inlineStr">
        <is>
          <t>Mean effervescent £/serving</t>
        </is>
      </c>
      <c r="B63" s="39">
        <f>SUMPRODUCT(($I$8:$I$58="Y")*$G$8:$G$58)/COUNTIF($I$8:$I$58,"Y")</f>
        <v/>
      </c>
    </row>
    <row r="64">
      <c r="A64" t="inlineStr">
        <is>
          <t>Count of effervescent rows</t>
        </is>
      </c>
      <c r="B64" s="40">
        <f>COUNTIF($I$8:$I$58,"Y")</f>
        <v/>
      </c>
    </row>
    <row r="65">
      <c r="A65" t="inlineStr">
        <is>
          <t>V-Drop A1 rank within the effervescent ladder (1 = cheapest)</t>
        </is>
      </c>
      <c r="B65" s="41">
        <f>K8</f>
        <v/>
      </c>
    </row>
    <row r="66">
      <c r="A66" t="inlineStr">
        <is>
          <t>V-Drop A1 rank within the vitamin-category ladder (1 = cheapest)</t>
        </is>
      </c>
      <c r="B66" s="41">
        <f>L8</f>
        <v/>
      </c>
    </row>
    <row r="67">
      <c r="A67" t="inlineStr">
        <is>
          <t>Rows in the vitamin-category ladder</t>
        </is>
      </c>
      <c r="B67" s="41">
        <f>COUNTIF($J$8:$J$58,"Y")</f>
        <v/>
      </c>
    </row>
    <row r="68">
      <c r="A68" t="inlineStr">
        <is>
          <t>V-Drop A1 sub £/serving inc VAT</t>
        </is>
      </c>
      <c r="B68" s="39">
        <f>G8</f>
        <v/>
      </c>
    </row>
    <row r="69">
      <c r="A69" t="inlineStr">
        <is>
          <t>V-Drop A1 sub £/serving NET</t>
        </is>
      </c>
      <c r="B69" s="39">
        <f>H8</f>
        <v/>
      </c>
    </row>
    <row r="70">
      <c r="A70" t="inlineStr">
        <is>
          <t>V-Drop A1 vs Tesco own-label effervescent vitamin C (£0.060)</t>
        </is>
      </c>
      <c r="B70" s="42">
        <f>G8/0.06</f>
        <v/>
      </c>
    </row>
    <row r="71">
      <c r="A71" t="inlineStr">
        <is>
          <t>V-Drop A1 vs Berocca Mind (£0.666)</t>
        </is>
      </c>
      <c r="B71" s="42">
        <f>G8/0.666</f>
        <v/>
      </c>
    </row>
    <row r="72">
      <c r="A72" t="inlineStr">
        <is>
          <t>V-Drop A1 vs Waterdrop (£0.749)</t>
        </is>
      </c>
      <c r="B72" s="42">
        <f>G8/0.749</f>
        <v/>
      </c>
    </row>
    <row r="73">
      <c r="A73" t="inlineStr">
        <is>
          <t>V-Drop A1 vs Wild Nutrition 45+ (£1.013)</t>
        </is>
      </c>
      <c r="B73" s="42">
        <f>G8/1.013</f>
        <v/>
      </c>
    </row>
    <row r="74">
      <c r="A74" t="inlineStr">
        <is>
          <t>V-Drop A1 vs AG1 subscription (£2.633)</t>
        </is>
      </c>
      <c r="B74" s="42">
        <f>G8/2.633</f>
        <v/>
      </c>
    </row>
  </sheetData>
  <autoFilter ref="A6:O58"/>
  <mergeCells count="1">
    <mergeCell ref="A4:O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showGridLines="0" workbookViewId="0">
      <selection activeCell="A1" sqref="A1"/>
    </sheetView>
  </sheetViews>
  <sheetFormatPr baseColWidth="8" defaultRowHeight="15"/>
  <cols>
    <col width="4" customWidth="1" min="1" max="1"/>
    <col width="50" customWidth="1" min="2" max="2"/>
    <col width="15" customWidth="1" min="3" max="3"/>
    <col width="15" customWidth="1" min="4" max="4"/>
    <col width="15" customWidth="1" min="5" max="5"/>
    <col width="15" customWidth="1" min="6" max="6"/>
    <col width="15" customWidth="1" min="7" max="7"/>
    <col width="16" customWidth="1" min="8" max="8"/>
    <col width="70" customWidth="1" min="9" max="9"/>
  </cols>
  <sheetData>
    <row r="1">
      <c r="A1" s="1" t="inlineStr">
        <is>
          <t>03 UNIT ECONOMICS BY SKU — waterfall from RRP inc VAT to contribution per serving</t>
        </is>
      </c>
    </row>
    <row r="2">
      <c r="A2" s="2" t="inlineStr">
        <is>
          <t>D2C only (decision, 2026-09-21). Driven by the scenario switch at '01 Inputs'!C3 and the tablet switch at C4. The retail column is OUT OF SCOPE and shown greyed, for continuity only.</t>
        </is>
      </c>
    </row>
    <row r="4" ht="46" customHeight="1">
      <c r="A4" s="34" t="inlineStr"/>
      <c r="B4" s="34" t="inlineStr">
        <is>
          <t>Line</t>
        </is>
      </c>
      <c r="C4" s="34" t="inlineStr">
        <is>
          <t>D2C starter kit
(WITH case)</t>
        </is>
      </c>
      <c r="D4" s="34" t="inlineStr">
        <is>
          <t>D2C starter kit
(NO case)</t>
        </is>
      </c>
      <c r="E4" s="34" t="inlineStr">
        <is>
          <t>D2C subscription refill
(monthly, 30)</t>
        </is>
      </c>
      <c r="F4" s="34" t="inlineStr">
        <is>
          <t>D2C one-off refill
(30)</t>
        </is>
      </c>
      <c r="G4" s="34" t="inlineStr">
        <is>
          <t>D2C quarterly prepay
(90)</t>
        </is>
      </c>
      <c r="H4" s="34" t="inlineStr">
        <is>
          <t>Retail tube (15)
OUT OF SCOPE — reference</t>
        </is>
      </c>
      <c r="I4" s="34" t="inlineStr">
        <is>
          <t>Note</t>
        </is>
      </c>
    </row>
    <row r="5">
      <c r="B5" s="4" t="inlineStr">
        <is>
          <t>Pack size (servings)</t>
        </is>
      </c>
      <c r="C5" s="40">
        <f>'01 Inputs'!$G$15</f>
        <v/>
      </c>
      <c r="D5" s="40">
        <f>'01 Inputs'!$G$15</f>
        <v/>
      </c>
      <c r="E5" s="40">
        <f>'01 Inputs'!$G$15</f>
        <v/>
      </c>
      <c r="F5" s="40">
        <f>'01 Inputs'!$G$15</f>
        <v/>
      </c>
      <c r="G5" s="40">
        <f>'01 Inputs'!$G$17</f>
        <v/>
      </c>
      <c r="H5" s="43">
        <f>'01 Inputs'!$G$80</f>
        <v/>
      </c>
    </row>
    <row r="6" ht="15" customHeight="1">
      <c r="B6" s="4" t="inlineStr">
        <is>
          <t>List RRP inc VAT</t>
        </is>
      </c>
      <c r="C6" s="44">
        <f>'01 Inputs'!$G$74</f>
        <v/>
      </c>
      <c r="D6" s="44">
        <f>'01 Inputs'!$G$75</f>
        <v/>
      </c>
      <c r="E6" s="44">
        <f>'01 Inputs'!$G$76</f>
        <v/>
      </c>
      <c r="F6" s="44">
        <f>'01 Inputs'!$G$77</f>
        <v/>
      </c>
      <c r="G6" s="44">
        <f>'01 Inputs'!$G$78</f>
        <v/>
      </c>
      <c r="H6" s="45">
        <f>'01 Inputs'!$G$79</f>
        <v/>
      </c>
      <c r="I6" s="2" t="inlineStr">
        <is>
          <t>Brief's headline prices. VAT correction applied immediately below.</t>
        </is>
      </c>
    </row>
    <row r="7">
      <c r="B7" s="4" t="inlineStr">
        <is>
          <t>Realised revenue factor</t>
        </is>
      </c>
      <c r="C7" s="41">
        <f>'01 Inputs'!$G$90</f>
        <v/>
      </c>
      <c r="D7" s="41">
        <f>'01 Inputs'!$G$90</f>
        <v/>
      </c>
      <c r="E7" s="41">
        <f>'01 Inputs'!$G$90</f>
        <v/>
      </c>
      <c r="F7" s="41">
        <f>'01 Inputs'!$G$90</f>
        <v/>
      </c>
      <c r="G7" s="41">
        <f>'01 Inputs'!$G$90</f>
        <v/>
      </c>
      <c r="H7" s="46">
        <f>'01 Inputs'!$G$90</f>
        <v/>
      </c>
    </row>
    <row r="8">
      <c r="B8" s="4" t="inlineStr">
        <is>
          <t>Realised price billed inc VAT</t>
        </is>
      </c>
      <c r="C8" s="44">
        <f>C6*C7</f>
        <v/>
      </c>
      <c r="D8" s="44">
        <f>D6*D7</f>
        <v/>
      </c>
      <c r="E8" s="44">
        <f>E6*E7</f>
        <v/>
      </c>
      <c r="F8" s="44">
        <f>F6*F7</f>
        <v/>
      </c>
      <c r="G8" s="44">
        <f>G6*G7</f>
        <v/>
      </c>
      <c r="H8" s="45">
        <f>H6*H7</f>
        <v/>
      </c>
    </row>
    <row r="9" ht="26" customHeight="1">
      <c r="B9" s="4" t="inlineStr">
        <is>
          <t xml:space="preserve">  less VAT at 20%</t>
        </is>
      </c>
      <c r="C9" s="44">
        <f>C8*'01 Inputs'!$G$11/(1+'01 Inputs'!$G$11)</f>
        <v/>
      </c>
      <c r="D9" s="44">
        <f>D8*'01 Inputs'!$G$11/(1+'01 Inputs'!$G$11)</f>
        <v/>
      </c>
      <c r="E9" s="44">
        <f>E8*'01 Inputs'!$G$11/(1+'01 Inputs'!$G$11)</f>
        <v/>
      </c>
      <c r="F9" s="44">
        <f>F8*'01 Inputs'!$G$11/(1+'01 Inputs'!$G$11)</f>
        <v/>
      </c>
      <c r="G9" s="44">
        <f>G8*'01 Inputs'!$G$11/(1+'01 Inputs'!$G$11)</f>
        <v/>
      </c>
      <c r="H9" s="45">
        <f>H8*'01 Inputs'!$G$11/(1+'01 Inputs'!$G$11)</f>
        <v/>
      </c>
      <c r="I9" s="2" t="inlineStr">
        <is>
          <t>A-007. The brief computed its 80-82% and 88-89% margins on the row above this one. That is the whole error.</t>
        </is>
      </c>
    </row>
    <row r="10" ht="15" customHeight="1">
      <c r="B10" s="47" t="inlineStr">
        <is>
          <t>NET PRICE (ex VAT)</t>
        </is>
      </c>
      <c r="C10" s="44">
        <f>C8/(1+'01 Inputs'!$G$11)</f>
        <v/>
      </c>
      <c r="D10" s="44">
        <f>D8/(1+'01 Inputs'!$G$11)</f>
        <v/>
      </c>
      <c r="E10" s="44">
        <f>E8/(1+'01 Inputs'!$G$11)</f>
        <v/>
      </c>
      <c r="F10" s="44">
        <f>F8/(1+'01 Inputs'!$G$11)</f>
        <v/>
      </c>
      <c r="G10" s="44">
        <f>G8/(1+'01 Inputs'!$G$11)</f>
        <v/>
      </c>
      <c r="H10" s="45">
        <f>H8/(1+'01 Inputs'!$G$11)</f>
        <v/>
      </c>
      <c r="I10" s="2" t="inlineStr">
        <is>
          <t>£29.99 -&gt; £24.99 net; £19.99 -&gt; £16.66 net.</t>
        </is>
      </c>
    </row>
    <row r="11" ht="26" customHeight="1">
      <c r="B11" s="4" t="inlineStr">
        <is>
          <t xml:space="preserve">  less retailer margin</t>
        </is>
      </c>
      <c r="C11" s="44">
        <f>C10*0</f>
        <v/>
      </c>
      <c r="D11" s="44">
        <f>D10*0</f>
        <v/>
      </c>
      <c r="E11" s="44">
        <f>E10*0</f>
        <v/>
      </c>
      <c r="F11" s="44">
        <f>F10*0</f>
        <v/>
      </c>
      <c r="G11" s="44">
        <f>G10*0</f>
        <v/>
      </c>
      <c r="H11" s="45">
        <f>H10*'01 Inputs'!$G$56</f>
        <v/>
      </c>
      <c r="I11" s="2" t="inlineStr">
        <is>
          <t>Zero under D2C-only. Retail column applies the A-029 assumption (40%, NOT SOURCED).</t>
        </is>
      </c>
    </row>
    <row r="12">
      <c r="B12" s="4" t="inlineStr">
        <is>
          <t xml:space="preserve">  less distributor margin</t>
        </is>
      </c>
      <c r="C12" s="44">
        <f>(C10-C11)*0</f>
        <v/>
      </c>
      <c r="D12" s="44">
        <f>(D10-D11)*0</f>
        <v/>
      </c>
      <c r="E12" s="44">
        <f>(E10-E11)*0</f>
        <v/>
      </c>
      <c r="F12" s="44">
        <f>(F10-F11)*0</f>
        <v/>
      </c>
      <c r="G12" s="44">
        <f>(G10-G11)*0</f>
        <v/>
      </c>
      <c r="H12" s="45">
        <f>(H10-H11)*'01 Inputs'!$G$57</f>
        <v/>
      </c>
    </row>
    <row r="13">
      <c r="B13" s="47" t="inlineStr">
        <is>
          <t>NET REVENUE REALISED BY V-DROP</t>
        </is>
      </c>
      <c r="C13" s="48">
        <f>C10-C11-C12</f>
        <v/>
      </c>
      <c r="D13" s="48">
        <f>D10-D11-D12</f>
        <v/>
      </c>
      <c r="E13" s="48">
        <f>E10-E11-E12</f>
        <v/>
      </c>
      <c r="F13" s="48">
        <f>F10-F11-F12</f>
        <v/>
      </c>
      <c r="G13" s="48">
        <f>G10-G11-G12</f>
        <v/>
      </c>
      <c r="H13" s="45">
        <f>H10-H11-H12</f>
        <v/>
      </c>
    </row>
    <row r="14">
      <c r="B14" s="4" t="inlineStr">
        <is>
          <t>COGS — tablets</t>
        </is>
      </c>
      <c r="C14" s="44">
        <f>C5*'01 Inputs'!$G$29</f>
        <v/>
      </c>
      <c r="D14" s="44">
        <f>D5*'01 Inputs'!$G$29</f>
        <v/>
      </c>
      <c r="E14" s="44">
        <f>E5*'01 Inputs'!$G$29</f>
        <v/>
      </c>
      <c r="F14" s="44">
        <f>F5*'01 Inputs'!$G$29</f>
        <v/>
      </c>
      <c r="G14" s="44">
        <f>G5*'01 Inputs'!$G$29</f>
        <v/>
      </c>
      <c r="H14" s="45">
        <f>H5*'01 Inputs'!$G$29</f>
        <v/>
      </c>
    </row>
    <row r="15">
      <c r="B15" s="4" t="inlineStr">
        <is>
          <t>COGS — blisters</t>
        </is>
      </c>
      <c r="C15" s="44">
        <f>C5*'01 Inputs'!$G$31</f>
        <v/>
      </c>
      <c r="D15" s="44">
        <f>D5*'01 Inputs'!$G$31</f>
        <v/>
      </c>
      <c r="E15" s="44">
        <f>E5*'01 Inputs'!$G$31</f>
        <v/>
      </c>
      <c r="F15" s="44">
        <f>F5*'01 Inputs'!$G$31</f>
        <v/>
      </c>
      <c r="G15" s="44">
        <f>G5*'01 Inputs'!$G$31</f>
        <v/>
      </c>
      <c r="H15" s="45">
        <f>H5*'01 Inputs'!$G$31</f>
        <v/>
      </c>
    </row>
    <row r="16">
      <c r="B16" s="4" t="inlineStr">
        <is>
          <t>COGS — carton and mailer</t>
        </is>
      </c>
      <c r="C16" s="44">
        <f>'01 Inputs'!$G$32</f>
        <v/>
      </c>
      <c r="D16" s="44">
        <f>'01 Inputs'!$G$32</f>
        <v/>
      </c>
      <c r="E16" s="44">
        <f>'01 Inputs'!$G$32</f>
        <v/>
      </c>
      <c r="F16" s="44">
        <f>'01 Inputs'!$G$32</f>
        <v/>
      </c>
      <c r="G16" s="44">
        <f>'01 Inputs'!$G$32</f>
        <v/>
      </c>
      <c r="H16" s="45">
        <f>0</f>
        <v/>
      </c>
    </row>
    <row r="17">
      <c r="B17" s="4" t="inlineStr">
        <is>
          <t>COGS — insert and label</t>
        </is>
      </c>
      <c r="C17" s="44">
        <f>'01 Inputs'!$G$33</f>
        <v/>
      </c>
      <c r="D17" s="44">
        <f>'01 Inputs'!$G$33</f>
        <v/>
      </c>
      <c r="E17" s="44">
        <f>'01 Inputs'!$G$33</f>
        <v/>
      </c>
      <c r="F17" s="44">
        <f>'01 Inputs'!$G$33</f>
        <v/>
      </c>
      <c r="G17" s="44">
        <f>'01 Inputs'!$G$33</f>
        <v/>
      </c>
      <c r="H17" s="45">
        <f>'01 Inputs'!$G$33</f>
        <v/>
      </c>
    </row>
    <row r="18" ht="26" customHeight="1">
      <c r="B18" s="4" t="inlineStr">
        <is>
          <t>COGS — aluminium case (incl. tooling amortisation)</t>
        </is>
      </c>
      <c r="C18" s="44">
        <f>1*'01 Inputs'!$G$37</f>
        <v/>
      </c>
      <c r="D18" s="44">
        <f>0*'01 Inputs'!$G$37</f>
        <v/>
      </c>
      <c r="E18" s="44">
        <f>0*'01 Inputs'!$G$37</f>
        <v/>
      </c>
      <c r="F18" s="44">
        <f>0*'01 Inputs'!$G$37</f>
        <v/>
      </c>
      <c r="G18" s="44">
        <f>0*'01 Inputs'!$G$37</f>
        <v/>
      </c>
      <c r="H18" s="45">
        <f>0*'01 Inputs'!$G$37</f>
        <v/>
      </c>
      <c r="I18" s="2" t="inlineStr">
        <is>
          <t>A-025. Compare column C with column D: the difference is exactly what the case costs you at the moment of first purchase.</t>
        </is>
      </c>
    </row>
    <row r="19">
      <c r="B19" s="47" t="inlineStr">
        <is>
          <t>TOTAL COGS</t>
        </is>
      </c>
      <c r="C19" s="48">
        <f>SUM(C14:C18)</f>
        <v/>
      </c>
      <c r="D19" s="48">
        <f>SUM(D14:D18)</f>
        <v/>
      </c>
      <c r="E19" s="48">
        <f>SUM(E14:E18)</f>
        <v/>
      </c>
      <c r="F19" s="48">
        <f>SUM(F14:F18)</f>
        <v/>
      </c>
      <c r="G19" s="48">
        <f>SUM(G14:G18)</f>
        <v/>
      </c>
      <c r="H19" s="45">
        <f>SUM(H14:H18)</f>
        <v/>
      </c>
    </row>
    <row r="20" ht="26" customHeight="1">
      <c r="B20" s="47" t="inlineStr">
        <is>
          <t>GROSS MARGIN  £</t>
        </is>
      </c>
      <c r="C20" s="49">
        <f>C13-C19</f>
        <v/>
      </c>
      <c r="D20" s="49">
        <f>D13-D19</f>
        <v/>
      </c>
      <c r="E20" s="49">
        <f>E13-E19</f>
        <v/>
      </c>
      <c r="F20" s="49">
        <f>F13-F19</f>
        <v/>
      </c>
      <c r="G20" s="49">
        <f>G13-G19</f>
        <v/>
      </c>
      <c r="H20" s="50">
        <f>H13-H19</f>
        <v/>
      </c>
      <c r="I20" s="2" t="inlineStr">
        <is>
          <t>GROSS MARGIN. This is the number the brief quoted — and it quoted it on the wrong revenue base.</t>
        </is>
      </c>
    </row>
    <row r="21">
      <c r="B21" s="47" t="inlineStr">
        <is>
          <t>GROSS MARGIN  % of net revenue</t>
        </is>
      </c>
      <c r="C21" s="51">
        <f>IF(C13=0,"",C20/C13)</f>
        <v/>
      </c>
      <c r="D21" s="51">
        <f>IF(D13=0,"",D20/D13)</f>
        <v/>
      </c>
      <c r="E21" s="51">
        <f>IF(E13=0,"",E20/E13)</f>
        <v/>
      </c>
      <c r="F21" s="51">
        <f>IF(F13=0,"",F20/F13)</f>
        <v/>
      </c>
      <c r="G21" s="51">
        <f>IF(G13=0,"",G20/G13)</f>
        <v/>
      </c>
      <c r="H21" s="52">
        <f>IF(H13=0,"",H20/H13)</f>
        <v/>
      </c>
    </row>
    <row r="22" ht="26" customHeight="1">
      <c r="B22" s="4" t="inlineStr">
        <is>
          <t>Shipped weight (g)</t>
        </is>
      </c>
      <c r="C22" s="53">
        <f>C5*'01 Inputs'!$G$14+C5*'01 Inputs'!$G$40+'01 Inputs'!$G$41+1*'01 Inputs'!$G$42</f>
        <v/>
      </c>
      <c r="D22" s="53">
        <f>D5*'01 Inputs'!$G$14+D5*'01 Inputs'!$G$40+'01 Inputs'!$G$41+0*'01 Inputs'!$G$42</f>
        <v/>
      </c>
      <c r="E22" s="53">
        <f>E5*'01 Inputs'!$G$14+E5*'01 Inputs'!$G$40+'01 Inputs'!$G$41+0*'01 Inputs'!$G$42</f>
        <v/>
      </c>
      <c r="F22" s="53">
        <f>F5*'01 Inputs'!$G$14+F5*'01 Inputs'!$G$40+'01 Inputs'!$G$41+0*'01 Inputs'!$G$42</f>
        <v/>
      </c>
      <c r="G22" s="53">
        <f>G5*'01 Inputs'!$G$14+G5*'01 Inputs'!$G$40+'01 Inputs'!$G$41+0*'01 Inputs'!$G$42</f>
        <v/>
      </c>
      <c r="H22" s="54">
        <f>H5*'01 Inputs'!$G$14+H5*'01 Inputs'!$G$40+'01 Inputs'!$G$41+0*'01 Inputs'!$G$42</f>
        <v/>
      </c>
      <c r="I22" s="2" t="inlineStr">
        <is>
          <t>30 x 3.5 g = 105 g of tablets alone, so the 0-100 g band is unreachable. See A-006.</t>
        </is>
      </c>
    </row>
    <row r="23">
      <c r="B23" s="4" t="inlineStr">
        <is>
          <t>Fulfilment (3PL pick and pack)</t>
        </is>
      </c>
      <c r="C23" s="44">
        <f>'01 Inputs'!$G$39</f>
        <v/>
      </c>
      <c r="D23" s="44">
        <f>'01 Inputs'!$G$39</f>
        <v/>
      </c>
      <c r="E23" s="44">
        <f>'01 Inputs'!$G$39</f>
        <v/>
      </c>
      <c r="F23" s="44">
        <f>'01 Inputs'!$G$39</f>
        <v/>
      </c>
      <c r="G23" s="44">
        <f>'01 Inputs'!$G$39</f>
        <v/>
      </c>
      <c r="H23" s="45">
        <f>0</f>
        <v/>
      </c>
    </row>
    <row r="24" ht="26" customHeight="1">
      <c r="B24" s="4" t="inlineStr">
        <is>
          <t>Postage (Royal Mail band, after business discount)</t>
        </is>
      </c>
      <c r="C24" s="44">
        <f>IF(C22&lt;=100,'01 Inputs'!$G$43,IF(C22&lt;=250,'01 Inputs'!$G$44,IF(C22&lt;=500,'01 Inputs'!$G$45,IF(C22&lt;=750,'01 Inputs'!$G$46,'01 Inputs'!$G$47))))*'01 Inputs'!$G$48</f>
        <v/>
      </c>
      <c r="D24" s="44">
        <f>IF(D22&lt;=100,'01 Inputs'!$G$43,IF(D22&lt;=250,'01 Inputs'!$G$44,IF(D22&lt;=500,'01 Inputs'!$G$45,IF(D22&lt;=750,'01 Inputs'!$G$46,'01 Inputs'!$G$47))))*'01 Inputs'!$G$48</f>
        <v/>
      </c>
      <c r="E24" s="44">
        <f>IF(E22&lt;=100,'01 Inputs'!$G$43,IF(E22&lt;=250,'01 Inputs'!$G$44,IF(E22&lt;=500,'01 Inputs'!$G$45,IF(E22&lt;=750,'01 Inputs'!$G$46,'01 Inputs'!$G$47))))*'01 Inputs'!$G$48</f>
        <v/>
      </c>
      <c r="F24" s="44">
        <f>IF(F22&lt;=100,'01 Inputs'!$G$43,IF(F22&lt;=250,'01 Inputs'!$G$44,IF(F22&lt;=500,'01 Inputs'!$G$45,IF(F22&lt;=750,'01 Inputs'!$G$46,'01 Inputs'!$G$47))))*'01 Inputs'!$G$48</f>
        <v/>
      </c>
      <c r="G24" s="44">
        <f>IF(G22&lt;=100,'01 Inputs'!$G$43,IF(G22&lt;=250,'01 Inputs'!$G$44,IF(G22&lt;=500,'01 Inputs'!$G$45,IF(G22&lt;=750,'01 Inputs'!$G$46,'01 Inputs'!$G$47))))*'01 Inputs'!$G$48</f>
        <v/>
      </c>
      <c r="H24" s="45">
        <f>0</f>
        <v/>
      </c>
      <c r="I24" s="2" t="inlineStr">
        <is>
          <t>Royal Mail 2nd class Large Letter, 101-250 g band at base. Re-checked 2026-09-22 and it contradicts A-006 — see Inputs I-41.</t>
        </is>
      </c>
    </row>
    <row r="25" ht="26" customHeight="1">
      <c r="B25" s="4" t="inlineStr">
        <is>
          <t>Payment fees (on the VAT-inclusive billed amount)</t>
        </is>
      </c>
      <c r="C25" s="44">
        <f>C8*'01 Inputs'!$G$50+'01 Inputs'!$G$51</f>
        <v/>
      </c>
      <c r="D25" s="44">
        <f>D8*'01 Inputs'!$G$50+'01 Inputs'!$G$51</f>
        <v/>
      </c>
      <c r="E25" s="44">
        <f>E8*'01 Inputs'!$G$50+'01 Inputs'!$G$51</f>
        <v/>
      </c>
      <c r="F25" s="44">
        <f>F8*'01 Inputs'!$G$50+'01 Inputs'!$G$51</f>
        <v/>
      </c>
      <c r="G25" s="44">
        <f>G8*'01 Inputs'!$G$50+'01 Inputs'!$G$51</f>
        <v/>
      </c>
      <c r="H25" s="45">
        <f>H8*'01 Inputs'!$G$50+'01 Inputs'!$G$51</f>
        <v/>
      </c>
      <c r="I25" s="2" t="inlineStr">
        <is>
          <t>Charged on the VAT-inclusive amount. The brief ignores payment fees entirely.</t>
        </is>
      </c>
    </row>
    <row r="26" ht="39" customHeight="1">
      <c r="B26" s="4" t="inlineStr">
        <is>
          <t>Age verification at checkout (nil — caffeine-free)</t>
        </is>
      </c>
      <c r="C26" s="39">
        <f>'01 Inputs'!$G$53</f>
        <v/>
      </c>
      <c r="D26" s="39">
        <f>'01 Inputs'!$G$53</f>
        <v/>
      </c>
      <c r="E26" s="39">
        <f>'01 Inputs'!$G$53</f>
        <v/>
      </c>
      <c r="F26" s="39">
        <f>'01 Inputs'!$G$53</f>
        <v/>
      </c>
      <c r="G26" s="39">
        <f>'01 Inputs'!$G$53</f>
        <v/>
      </c>
      <c r="H26" s="55">
        <f>'01 Inputs'!$G$53</f>
        <v/>
      </c>
      <c r="I26" s="2" t="inlineStr">
        <is>
          <t>Nil under the caffeine-free decision of 2026-09-22. Set '01 Inputs'!C7 to 1 to see the cost of the architecture we have just walked away from (A-024).</t>
        </is>
      </c>
    </row>
    <row r="27">
      <c r="B27" s="4" t="inlineStr">
        <is>
          <t>Breakage / damage replacement</t>
        </is>
      </c>
      <c r="C27" s="44">
        <f>'01 Inputs'!$G$52*(C19+C23+C24)</f>
        <v/>
      </c>
      <c r="D27" s="44">
        <f>'01 Inputs'!$G$52*(D19+D23+D24)</f>
        <v/>
      </c>
      <c r="E27" s="44">
        <f>'01 Inputs'!$G$52*(E19+E23+E24)</f>
        <v/>
      </c>
      <c r="F27" s="44">
        <f>'01 Inputs'!$G$52*(F19+F23+F24)</f>
        <v/>
      </c>
      <c r="G27" s="44">
        <f>'01 Inputs'!$G$52*(G19+G23+G24)</f>
        <v/>
      </c>
      <c r="H27" s="45">
        <f>'01 Inputs'!$G$52*(H19+H23+H24)</f>
        <v/>
      </c>
    </row>
    <row r="28">
      <c r="B28" s="4" t="inlineStr">
        <is>
          <t>Returns and refunds</t>
        </is>
      </c>
      <c r="C28" s="44">
        <f>'01 Inputs'!$G$54*(C13+C19+C24)</f>
        <v/>
      </c>
      <c r="D28" s="44">
        <f>'01 Inputs'!$G$54*(D13+D19+D24)</f>
        <v/>
      </c>
      <c r="E28" s="44">
        <f>'01 Inputs'!$G$54*(E13+E19+E24)</f>
        <v/>
      </c>
      <c r="F28" s="44">
        <f>'01 Inputs'!$G$54*(F13+F19+F24)</f>
        <v/>
      </c>
      <c r="G28" s="44">
        <f>'01 Inputs'!$G$54*(G13+G19+G24)</f>
        <v/>
      </c>
      <c r="H28" s="45">
        <f>'01 Inputs'!$G$54*(H13+H19+H24)</f>
        <v/>
      </c>
    </row>
    <row r="29">
      <c r="B29" s="47" t="inlineStr">
        <is>
          <t>TOTAL VARIABLE COSTS</t>
        </is>
      </c>
      <c r="C29" s="48">
        <f>SUM(C23:C28)</f>
        <v/>
      </c>
      <c r="D29" s="48">
        <f>SUM(D23:D28)</f>
        <v/>
      </c>
      <c r="E29" s="48">
        <f>SUM(E23:E28)</f>
        <v/>
      </c>
      <c r="F29" s="48">
        <f>SUM(F23:F28)</f>
        <v/>
      </c>
      <c r="G29" s="48">
        <f>SUM(G23:G28)</f>
        <v/>
      </c>
      <c r="H29" s="45">
        <f>SUM(H23:H28)</f>
        <v/>
      </c>
    </row>
    <row r="30" ht="26" customHeight="1">
      <c r="B30" s="47" t="inlineStr">
        <is>
          <t>CONTRIBUTION  £</t>
        </is>
      </c>
      <c r="C30" s="49">
        <f>C20-C29</f>
        <v/>
      </c>
      <c r="D30" s="49">
        <f>D20-D29</f>
        <v/>
      </c>
      <c r="E30" s="49">
        <f>E20-E29</f>
        <v/>
      </c>
      <c r="F30" s="49">
        <f>F20-F29</f>
        <v/>
      </c>
      <c r="G30" s="49">
        <f>G20-G29</f>
        <v/>
      </c>
      <c r="H30" s="50">
        <f>H20-H29</f>
        <v/>
      </c>
      <c r="I30" s="2" t="inlineStr">
        <is>
          <t>CONTRIBUTION. This is the only number that can be compared against CAC.</t>
        </is>
      </c>
    </row>
    <row r="31">
      <c r="B31" s="47" t="inlineStr">
        <is>
          <t>CONTRIBUTION MARGIN  % of net revenue</t>
        </is>
      </c>
      <c r="C31" s="51">
        <f>IF(C13=0,"",C30/C13)</f>
        <v/>
      </c>
      <c r="D31" s="51">
        <f>IF(D13=0,"",D30/D13)</f>
        <v/>
      </c>
      <c r="E31" s="51">
        <f>IF(E13=0,"",E30/E13)</f>
        <v/>
      </c>
      <c r="F31" s="51">
        <f>IF(F13=0,"",F30/F13)</f>
        <v/>
      </c>
      <c r="G31" s="51">
        <f>IF(G13=0,"",G30/G13)</f>
        <v/>
      </c>
      <c r="H31" s="52">
        <f>IF(H13=0,"",H30/H13)</f>
        <v/>
      </c>
    </row>
    <row r="32" ht="15" customHeight="1">
      <c r="B32" s="47" t="inlineStr">
        <is>
          <t>CONTRIBUTION PER SERVING  £</t>
        </is>
      </c>
      <c r="C32" s="56">
        <f>C30/C5</f>
        <v/>
      </c>
      <c r="D32" s="56">
        <f>D30/D5</f>
        <v/>
      </c>
      <c r="E32" s="56">
        <f>E30/E5</f>
        <v/>
      </c>
      <c r="F32" s="56">
        <f>F30/F5</f>
        <v/>
      </c>
      <c r="G32" s="56">
        <f>G30/G5</f>
        <v/>
      </c>
      <c r="H32" s="57">
        <f>H30/H5</f>
        <v/>
      </c>
      <c r="I32" s="2" t="inlineStr">
        <is>
          <t>The number to put on the competitor ladder — after costs, not before.</t>
        </is>
      </c>
    </row>
    <row r="33">
      <c r="B33" s="4" t="inlineStr">
        <is>
          <t>List price per serving, inc VAT</t>
        </is>
      </c>
      <c r="C33" s="39">
        <f>C6/C5</f>
        <v/>
      </c>
      <c r="D33" s="39">
        <f>D6/D5</f>
        <v/>
      </c>
      <c r="E33" s="39">
        <f>E6/E5</f>
        <v/>
      </c>
      <c r="F33" s="39">
        <f>F6/F5</f>
        <v/>
      </c>
      <c r="G33" s="39">
        <f>G6/G5</f>
        <v/>
      </c>
      <c r="H33" s="55">
        <f>H6/H5</f>
        <v/>
      </c>
    </row>
    <row r="34">
      <c r="B34" s="4" t="inlineStr">
        <is>
          <t>List price per serving, NET</t>
        </is>
      </c>
      <c r="C34" s="39">
        <f>C33/(1+'01 Inputs'!$G$11)</f>
        <v/>
      </c>
      <c r="D34" s="39">
        <f>D33/(1+'01 Inputs'!$G$11)</f>
        <v/>
      </c>
      <c r="E34" s="39">
        <f>E33/(1+'01 Inputs'!$G$11)</f>
        <v/>
      </c>
      <c r="F34" s="39">
        <f>F33/(1+'01 Inputs'!$G$11)</f>
        <v/>
      </c>
      <c r="G34" s="39">
        <f>G33/(1+'01 Inputs'!$G$11)</f>
        <v/>
      </c>
      <c r="H34" s="55">
        <f>H33/(1+'01 Inputs'!$G$11)</f>
        <v/>
      </c>
    </row>
    <row r="35">
      <c r="B35" s="4" t="inlineStr">
        <is>
          <t>Memo: parcel postage a TUBE competitor must pay</t>
        </is>
      </c>
      <c r="C35" s="44">
        <f>'01 Inputs'!$G$47*'01 Inputs'!$G$48</f>
        <v/>
      </c>
      <c r="D35" s="44">
        <f>'01 Inputs'!$G$47*'01 Inputs'!$G$48</f>
        <v/>
      </c>
      <c r="E35" s="44">
        <f>'01 Inputs'!$G$47*'01 Inputs'!$G$48</f>
        <v/>
      </c>
      <c r="F35" s="44">
        <f>'01 Inputs'!$G$47*'01 Inputs'!$G$48</f>
        <v/>
      </c>
      <c r="G35" s="44">
        <f>'01 Inputs'!$G$47*'01 Inputs'!$G$48</f>
        <v/>
      </c>
      <c r="H35" s="45">
        <f>'01 Inputs'!$G$47*'01 Inputs'!$G$48</f>
        <v/>
      </c>
    </row>
    <row r="36" ht="39" customHeight="1">
      <c r="B36" s="4" t="inlineStr">
        <is>
          <t>Memo: LETTERBOX ADVANTAGE per order (A-006)</t>
        </is>
      </c>
      <c r="C36" s="48">
        <f>C35-C24</f>
        <v/>
      </c>
      <c r="D36" s="48">
        <f>D35-D24</f>
        <v/>
      </c>
      <c r="E36" s="48">
        <f>E35-E24</f>
        <v/>
      </c>
      <c r="F36" s="48">
        <f>F35-F24</f>
        <v/>
      </c>
      <c r="G36" s="48">
        <f>G35-G24</f>
        <v/>
      </c>
      <c r="H36" s="45">
        <f>0</f>
        <v/>
      </c>
      <c r="I36" s="2" t="inlineStr">
        <is>
          <t>THE FORMAT'S ONLY QUANTIFIED D2C COST ADVANTAGE. A tube competitor fails the 25 mm Large Letter depth limit and must ship a parcel. This row is the size of the edge, per order.</t>
        </is>
      </c>
    </row>
    <row r="39">
      <c r="B39" s="3" t="inlineStr">
        <is>
          <t>WATERFALL CHECK — subscription refill, base case</t>
        </is>
      </c>
    </row>
    <row r="40">
      <c r="B40" t="inlineStr">
        <is>
          <t>RRP inc VAT</t>
        </is>
      </c>
      <c r="C40" s="44">
        <f>E6</f>
        <v/>
      </c>
    </row>
    <row r="41">
      <c r="B41" t="inlineStr">
        <is>
          <t>less VAT</t>
        </is>
      </c>
      <c r="C41" s="44">
        <f>-E9</f>
        <v/>
      </c>
    </row>
    <row r="42">
      <c r="B42" t="inlineStr">
        <is>
          <t>-&gt; Net price</t>
        </is>
      </c>
      <c r="C42" s="48">
        <f>E10</f>
        <v/>
      </c>
    </row>
    <row r="43">
      <c r="B43" t="inlineStr">
        <is>
          <t>less retailer / distributor margin (nil under D2C)</t>
        </is>
      </c>
      <c r="C43" s="44">
        <f>-E11-E12</f>
        <v/>
      </c>
    </row>
    <row r="44">
      <c r="B44" t="inlineStr">
        <is>
          <t>less COGS</t>
        </is>
      </c>
      <c r="C44" s="44">
        <f>-E19</f>
        <v/>
      </c>
    </row>
    <row r="45">
      <c r="B45" t="inlineStr">
        <is>
          <t>-&gt; GROSS MARGIN</t>
        </is>
      </c>
      <c r="C45" s="48">
        <f>E20</f>
        <v/>
      </c>
    </row>
    <row r="46">
      <c r="B46" t="inlineStr">
        <is>
          <t>less fulfilment</t>
        </is>
      </c>
      <c r="C46" s="44">
        <f>-E23</f>
        <v/>
      </c>
    </row>
    <row r="47">
      <c r="B47" t="inlineStr">
        <is>
          <t>less postage</t>
        </is>
      </c>
      <c r="C47" s="44">
        <f>-E24</f>
        <v/>
      </c>
    </row>
    <row r="48">
      <c r="B48" t="inlineStr">
        <is>
          <t>less payment fees</t>
        </is>
      </c>
      <c r="C48" s="44">
        <f>-E25</f>
        <v/>
      </c>
    </row>
    <row r="49">
      <c r="B49" t="inlineStr">
        <is>
          <t>less age verification (nil — caffeine-free)</t>
        </is>
      </c>
      <c r="C49" s="44">
        <f>-E26</f>
        <v/>
      </c>
    </row>
    <row r="50">
      <c r="B50" t="inlineStr">
        <is>
          <t>less breakage</t>
        </is>
      </c>
      <c r="C50" s="44">
        <f>-E27</f>
        <v/>
      </c>
    </row>
    <row r="51">
      <c r="B51" t="inlineStr">
        <is>
          <t>less returns</t>
        </is>
      </c>
      <c r="C51" s="44">
        <f>-E28</f>
        <v/>
      </c>
    </row>
    <row r="52">
      <c r="B52" t="inlineStr">
        <is>
          <t>-&gt; CONTRIBUTION PER UNIT</t>
        </is>
      </c>
      <c r="C52" s="48">
        <f>E30</f>
        <v/>
      </c>
    </row>
    <row r="53">
      <c r="B53" t="inlineStr">
        <is>
          <t>-&gt; CONTRIBUTION PER SERVING</t>
        </is>
      </c>
      <c r="C53" s="58">
        <f>E32</f>
        <v/>
      </c>
    </row>
    <row r="55">
      <c r="B55" s="2" t="inlineStr">
        <is>
          <t>Note: the realised revenue factor (Inputs I-REALF) is applied before VAT is stripped, so the 'RRP inc VAT' row above is list price and the VAT line is computed on the amount actually billed. At a factor below 1.00 the two do not reconcile exactly — that gap IS the promotional leakage.</t>
        </is>
      </c>
    </row>
    <row r="57">
      <c r="B57" s="59" t="inlineStr">
        <is>
          <t>ACTIVES GRADE — what 'clinical' costs (subscription refill, base inputs)</t>
        </is>
      </c>
    </row>
    <row r="58">
      <c r="C58" s="60" t="inlineStr">
        <is>
          <t>Commodity USP forms</t>
        </is>
      </c>
      <c r="D58" s="60" t="inlineStr">
        <is>
          <t>Branded / patented forms</t>
        </is>
      </c>
      <c r="E58" s="60" t="inlineStr">
        <is>
          <t>Difference</t>
        </is>
      </c>
    </row>
    <row r="59">
      <c r="B59" s="4" t="inlineStr">
        <is>
          <t>Tablet COGS £/tablet</t>
        </is>
      </c>
      <c r="C59" s="61">
        <f>'01 Inputs'!$E$27</f>
        <v/>
      </c>
      <c r="D59" s="61">
        <f>'01 Inputs'!$E$28</f>
        <v/>
      </c>
      <c r="E59" s="61">
        <f>D59-C59</f>
        <v/>
      </c>
    </row>
    <row r="60">
      <c r="B60" s="4" t="inlineStr">
        <is>
          <t>Pack COGS (30 tablets, all components)</t>
        </is>
      </c>
      <c r="C60" s="48">
        <f>('01 Inputs'!$E$15*'01 Inputs'!$E$27+'01 Inputs'!$E$15*'01 Inputs'!$E$31+'01 Inputs'!$E$32+'01 Inputs'!$E$33)</f>
        <v/>
      </c>
      <c r="D60" s="48">
        <f>('01 Inputs'!$E$15*'01 Inputs'!$E$28+'01 Inputs'!$E$15*'01 Inputs'!$E$31+'01 Inputs'!$E$32+'01 Inputs'!$E$33)</f>
        <v/>
      </c>
      <c r="E60" s="48">
        <f>D60-C60</f>
        <v/>
      </c>
    </row>
    <row r="61">
      <c r="B61" s="4" t="inlineStr">
        <is>
          <t>Net revenue (ex VAT, after realised factor)</t>
        </is>
      </c>
      <c r="C61" s="48">
        <f>(('01 Inputs'!$E$76*'01 Inputs'!$E$90)/(1+'01 Inputs'!$E$11))</f>
        <v/>
      </c>
      <c r="D61" s="48">
        <f>(('01 Inputs'!$E$76*'01 Inputs'!$E$90)/(1+'01 Inputs'!$E$11))</f>
        <v/>
      </c>
      <c r="E61" s="48">
        <f>D61-C61</f>
        <v/>
      </c>
    </row>
    <row r="62">
      <c r="B62" s="4" t="inlineStr">
        <is>
          <t>GROSS MARGIN £</t>
        </is>
      </c>
      <c r="C62" s="48">
        <f>(('01 Inputs'!$E$76*'01 Inputs'!$E$90)/(1+'01 Inputs'!$E$11))-('01 Inputs'!$E$15*'01 Inputs'!$E$27+'01 Inputs'!$E$15*'01 Inputs'!$E$31+'01 Inputs'!$E$32+'01 Inputs'!$E$33)</f>
        <v/>
      </c>
      <c r="D62" s="48">
        <f>(('01 Inputs'!$E$76*'01 Inputs'!$E$90)/(1+'01 Inputs'!$E$11))-('01 Inputs'!$E$15*'01 Inputs'!$E$28+'01 Inputs'!$E$15*'01 Inputs'!$E$31+'01 Inputs'!$E$32+'01 Inputs'!$E$33)</f>
        <v/>
      </c>
      <c r="E62" s="48">
        <f>D62-C62</f>
        <v/>
      </c>
    </row>
    <row r="63">
      <c r="B63" s="4" t="inlineStr">
        <is>
          <t>Gross margin %</t>
        </is>
      </c>
      <c r="C63" s="62">
        <f>C62/C61</f>
        <v/>
      </c>
      <c r="D63" s="62">
        <f>D62/D61</f>
        <v/>
      </c>
      <c r="E63" s="62">
        <f>D63-C63</f>
        <v/>
      </c>
    </row>
    <row r="64">
      <c r="B64" s="4" t="inlineStr">
        <is>
          <t>CONTRIBUTION £</t>
        </is>
      </c>
      <c r="C64" s="48">
        <f>(('01 Inputs'!$E$76*'01 Inputs'!$E$90)/(1+'01 Inputs'!$E$11))-('01 Inputs'!$E$15*'01 Inputs'!$E$27+'01 Inputs'!$E$15*'01 Inputs'!$E$31+'01 Inputs'!$E$32+'01 Inputs'!$E$33)-('01 Inputs'!$E$39+(IF(('01 Inputs'!$E$15*'01 Inputs'!$E$14+'01 Inputs'!$E$15*'01 Inputs'!$E$40+'01 Inputs'!$E$41)&lt;=100,'01 Inputs'!$E$43,IF(('01 Inputs'!$E$15*'01 Inputs'!$E$14+'01 Inputs'!$E$15*'01 Inputs'!$E$40+'01 Inputs'!$E$41)&lt;=250,'01 Inputs'!$E$44,IF(('01 Inputs'!$E$15*'01 Inputs'!$E$14+'01 Inputs'!$E$15*'01 Inputs'!$E$40+'01 Inputs'!$E$41)&lt;=500,'01 Inputs'!$E$45,IF(('01 Inputs'!$E$15*'01 Inputs'!$E$14+'01 Inputs'!$E$15*'01 Inputs'!$E$40+'01 Inputs'!$E$41)&lt;=750,'01 Inputs'!$E$46,'01 Inputs'!$E$47))))*'01 Inputs'!$E$48)+(('01 Inputs'!$E$76*'01 Inputs'!$E$90)*'01 Inputs'!$E$50+'01 Inputs'!$E$51)+'01 Inputs'!$E$53+('01 Inputs'!$E$52*(('01 Inputs'!$E$15*'01 Inputs'!$E$27+'01 Inputs'!$E$15*'01 Inputs'!$E$31+'01 Inputs'!$E$32+'01 Inputs'!$E$33)+'01 Inputs'!$E$39+(IF(('01 Inputs'!$E$15*'01 Inputs'!$E$14+'01 Inputs'!$E$15*'01 Inputs'!$E$40+'01 Inputs'!$E$41)&lt;=100,'01 Inputs'!$E$43,IF(('01 Inputs'!$E$15*'01 Inputs'!$E$14+'01 Inputs'!$E$15*'01 Inputs'!$E$40+'01 Inputs'!$E$41)&lt;=250,'01 Inputs'!$E$44,IF(('01 Inputs'!$E$15*'01 Inputs'!$E$14+'01 Inputs'!$E$15*'01 Inputs'!$E$40+'01 Inputs'!$E$41)&lt;=500,'01 Inputs'!$E$45,IF(('01 Inputs'!$E$15*'01 Inputs'!$E$14+'01 Inputs'!$E$15*'01 Inputs'!$E$40+'01 Inputs'!$E$41)&lt;=750,'01 Inputs'!$E$46,'01 Inputs'!$E$47))))*'01 Inputs'!$E$48)))+('01 Inputs'!$E$54*((('01 Inputs'!$E$76*'01 Inputs'!$E$90)/(1+'01 Inputs'!$E$11))+('01 Inputs'!$E$15*'01 Inputs'!$E$27+'01 Inputs'!$E$15*'01 Inputs'!$E$31+'01 Inputs'!$E$32+'01 Inputs'!$E$33)+(IF(('01 Inputs'!$E$15*'01 Inputs'!$E$14+'01 Inputs'!$E$15*'01 Inputs'!$E$40+'01 Inputs'!$E$41)&lt;=100,'01 Inputs'!$E$43,IF(('01 Inputs'!$E$15*'01 Inputs'!$E$14+'01 Inputs'!$E$15*'01 Inputs'!$E$40+'01 Inputs'!$E$41)&lt;=250,'01 Inputs'!$E$44,IF(('01 Inputs'!$E$15*'01 Inputs'!$E$14+'01 Inputs'!$E$15*'01 Inputs'!$E$40+'01 Inputs'!$E$41)&lt;=500,'01 Inputs'!$E$45,IF(('01 Inputs'!$E$15*'01 Inputs'!$E$14+'01 Inputs'!$E$15*'01 Inputs'!$E$40+'01 Inputs'!$E$41)&lt;=750,'01 Inputs'!$E$46,'01 Inputs'!$E$47))))*'01 Inputs'!$E$48))))</f>
        <v/>
      </c>
      <c r="D64" s="48">
        <f>(('01 Inputs'!$E$76*'01 Inputs'!$E$90)/(1+'01 Inputs'!$E$11))-('01 Inputs'!$E$15*'01 Inputs'!$E$28+'01 Inputs'!$E$15*'01 Inputs'!$E$31+'01 Inputs'!$E$32+'01 Inputs'!$E$33)-('01 Inputs'!$E$39+(IF(('01 Inputs'!$E$15*'01 Inputs'!$E$14+'01 Inputs'!$E$15*'01 Inputs'!$E$40+'01 Inputs'!$E$41)&lt;=100,'01 Inputs'!$E$43,IF(('01 Inputs'!$E$15*'01 Inputs'!$E$14+'01 Inputs'!$E$15*'01 Inputs'!$E$40+'01 Inputs'!$E$41)&lt;=250,'01 Inputs'!$E$44,IF(('01 Inputs'!$E$15*'01 Inputs'!$E$14+'01 Inputs'!$E$15*'01 Inputs'!$E$40+'01 Inputs'!$E$41)&lt;=500,'01 Inputs'!$E$45,IF(('01 Inputs'!$E$15*'01 Inputs'!$E$14+'01 Inputs'!$E$15*'01 Inputs'!$E$40+'01 Inputs'!$E$41)&lt;=750,'01 Inputs'!$E$46,'01 Inputs'!$E$47))))*'01 Inputs'!$E$48)+(('01 Inputs'!$E$76*'01 Inputs'!$E$90)*'01 Inputs'!$E$50+'01 Inputs'!$E$51)+'01 Inputs'!$E$53+('01 Inputs'!$E$52*(('01 Inputs'!$E$15*'01 Inputs'!$E$28+'01 Inputs'!$E$15*'01 Inputs'!$E$31+'01 Inputs'!$E$32+'01 Inputs'!$E$33)+'01 Inputs'!$E$39+(IF(('01 Inputs'!$E$15*'01 Inputs'!$E$14+'01 Inputs'!$E$15*'01 Inputs'!$E$40+'01 Inputs'!$E$41)&lt;=100,'01 Inputs'!$E$43,IF(('01 Inputs'!$E$15*'01 Inputs'!$E$14+'01 Inputs'!$E$15*'01 Inputs'!$E$40+'01 Inputs'!$E$41)&lt;=250,'01 Inputs'!$E$44,IF(('01 Inputs'!$E$15*'01 Inputs'!$E$14+'01 Inputs'!$E$15*'01 Inputs'!$E$40+'01 Inputs'!$E$41)&lt;=500,'01 Inputs'!$E$45,IF(('01 Inputs'!$E$15*'01 Inputs'!$E$14+'01 Inputs'!$E$15*'01 Inputs'!$E$40+'01 Inputs'!$E$41)&lt;=750,'01 Inputs'!$E$46,'01 Inputs'!$E$47))))*'01 Inputs'!$E$48)))+('01 Inputs'!$E$54*((('01 Inputs'!$E$76*'01 Inputs'!$E$90)/(1+'01 Inputs'!$E$11))+('01 Inputs'!$E$15*'01 Inputs'!$E$28+'01 Inputs'!$E$15*'01 Inputs'!$E$31+'01 Inputs'!$E$32+'01 Inputs'!$E$33)+(IF(('01 Inputs'!$E$15*'01 Inputs'!$E$14+'01 Inputs'!$E$15*'01 Inputs'!$E$40+'01 Inputs'!$E$41)&lt;=100,'01 Inputs'!$E$43,IF(('01 Inputs'!$E$15*'01 Inputs'!$E$14+'01 Inputs'!$E$15*'01 Inputs'!$E$40+'01 Inputs'!$E$41)&lt;=250,'01 Inputs'!$E$44,IF(('01 Inputs'!$E$15*'01 Inputs'!$E$14+'01 Inputs'!$E$15*'01 Inputs'!$E$40+'01 Inputs'!$E$41)&lt;=500,'01 Inputs'!$E$45,IF(('01 Inputs'!$E$15*'01 Inputs'!$E$14+'01 Inputs'!$E$15*'01 Inputs'!$E$40+'01 Inputs'!$E$41)&lt;=750,'01 Inputs'!$E$46,'01 Inputs'!$E$47))))*'01 Inputs'!$E$48))))</f>
        <v/>
      </c>
      <c r="E64" s="48">
        <f>D64-C64</f>
        <v/>
      </c>
    </row>
    <row r="65">
      <c r="B65" s="4" t="inlineStr">
        <is>
          <t>Contribution %</t>
        </is>
      </c>
      <c r="C65" s="62">
        <f>C64/C61</f>
        <v/>
      </c>
      <c r="D65" s="62">
        <f>D64/D61</f>
        <v/>
      </c>
      <c r="E65" s="62">
        <f>D65-C65</f>
        <v/>
      </c>
    </row>
    <row r="66">
      <c r="B66" s="4" t="inlineStr">
        <is>
          <t>Contribution per serving</t>
        </is>
      </c>
      <c r="C66" s="58">
        <f>C64/'01 Inputs'!$E$15</f>
        <v/>
      </c>
      <c r="D66" s="58">
        <f>D64/'01 Inputs'!$E$15</f>
        <v/>
      </c>
      <c r="E66" s="58">
        <f>D66-C66</f>
        <v/>
      </c>
    </row>
    <row r="67" ht="55" customHeight="1">
      <c r="B67" s="33" t="inlineStr">
        <is>
          <t>READ THIS. Branded source forms are the only lever in this model that buys a reason to charge more than a £0.06/serving Tesco effervescent, because the authorised CLAIMS are identical at both prices (A-045). They are also the only COGS line that can move the contribution margin by double digits. If the 'clinical' positioning is real, this cost is the price of it and it must be in the plan. A-043 RISK: GB permitted source forms are frozen by Schedule 2 at end-2020 with one amendment since; check every branded form against Schedule 2 BEFORE building a story on it.</t>
        </is>
      </c>
    </row>
    <row r="69">
      <c r="B69" s="59" t="inlineStr">
        <is>
          <t>LAUNCH CAPITAL AND THE SHARED-BASE ARCHITECTURE (three products, one base)</t>
        </is>
      </c>
    </row>
    <row r="70">
      <c r="B70" s="4" t="inlineStr">
        <is>
          <t>Formulation cost — shared base + 3 layers</t>
        </is>
      </c>
      <c r="C70" s="48">
        <f>'01 Inputs'!$G$85</f>
        <v/>
      </c>
    </row>
    <row r="71">
      <c r="B71" s="4" t="inlineStr">
        <is>
          <t>Formulation cost — if the 3 SKUs were formulated independently</t>
        </is>
      </c>
      <c r="C71" s="48">
        <f>'01 Inputs'!$G$86</f>
        <v/>
      </c>
    </row>
    <row r="72">
      <c r="B72" s="4" t="inlineStr">
        <is>
          <t>NPD saving from the shared base</t>
        </is>
      </c>
      <c r="C72" s="48">
        <f>C71-C70</f>
        <v/>
      </c>
    </row>
    <row r="73">
      <c r="B73" s="4" t="inlineStr">
        <is>
          <t>First-run tablets — shared base MOQ + 3 layer runs</t>
        </is>
      </c>
      <c r="C73" s="63">
        <f>'01 Inputs'!$G$87+'01 Inputs'!$G$88*'01 Inputs'!$G$84</f>
        <v/>
      </c>
    </row>
    <row r="74">
      <c r="B74" s="4" t="inlineStr">
        <is>
          <t>First-run tablets — if each SKU carried a full MOQ</t>
        </is>
      </c>
      <c r="C74" s="63">
        <f>'01 Inputs'!$G$87*'01 Inputs'!$G$84</f>
        <v/>
      </c>
    </row>
    <row r="75">
      <c r="B75" s="4" t="inlineStr">
        <is>
          <t>First-run STOCK VALUE — shared base</t>
        </is>
      </c>
      <c r="C75" s="48">
        <f>C73*'01 Inputs'!$G$29</f>
        <v/>
      </c>
    </row>
    <row r="76">
      <c r="B76" s="4" t="inlineStr">
        <is>
          <t>First-run STOCK VALUE — independent SKUs</t>
        </is>
      </c>
      <c r="C76" s="48">
        <f>C74*'01 Inputs'!$G$29</f>
        <v/>
      </c>
    </row>
    <row r="77">
      <c r="B77" s="4" t="inlineStr">
        <is>
          <t>Working-capital saving from the shared base</t>
        </is>
      </c>
      <c r="C77" s="48">
        <f>C76-C75</f>
        <v/>
      </c>
    </row>
    <row r="78">
      <c r="B78" s="4" t="inlineStr">
        <is>
          <t>Subscriber-months of stock in the first run (shared base)</t>
        </is>
      </c>
      <c r="C78" s="63">
        <f>C73/'01 Inputs'!$G$15</f>
        <v/>
      </c>
    </row>
    <row r="79">
      <c r="B79" s="4" t="inlineStr">
        <is>
          <t>Case tooling and fixtures (one-off, if the case is in the kit)</t>
        </is>
      </c>
      <c r="C79" s="48">
        <f>'01 Inputs'!$G$35</f>
        <v/>
      </c>
    </row>
    <row r="80">
      <c r="B80" s="4" t="inlineStr">
        <is>
          <t>One-off compliance cost avoided by going caffeine-free</t>
        </is>
      </c>
      <c r="C80" s="48">
        <f>'01 Inputs'!$G$89</f>
        <v/>
      </c>
    </row>
    <row r="81">
      <c r="B81" s="4" t="inlineStr">
        <is>
          <t>TOTAL CASH TO FIRST SHIPPABLE BATCH (excl. brand, web, artwork and marketing)</t>
        </is>
      </c>
      <c r="C81" s="48">
        <f>C70+C75+C79</f>
        <v/>
      </c>
    </row>
    <row r="83" ht="45" customHeight="1">
      <c r="B83" s="64" t="inlineStr">
        <is>
          <t>THE QUESTION TO ASK THE FIRST MANUFACTURER. Will you run a shared base blend with three short differentiating sub-runs, and what is the MOQ on each? If the answer is no — if every SKU carries a full MOQ — then three products at launch is roughly three times the working capital and the right answer is one product, not three. This single question moves more cash than any pricing decision in this workbook.</t>
        </is>
      </c>
    </row>
  </sheetData>
  <mergeCells count="2">
    <mergeCell ref="B67:I67"/>
    <mergeCell ref="B83:I8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3"/>
  <sheetViews>
    <sheetView showGridLines="0" workbookViewId="0">
      <selection activeCell="A1" sqref="A1"/>
    </sheetView>
  </sheetViews>
  <sheetFormatPr baseColWidth="8" defaultRowHeight="15"/>
  <cols>
    <col width="4" customWidth="1" min="1" max="1"/>
    <col width="46" customWidth="1" min="2" max="2"/>
    <col width="14" customWidth="1" min="3" max="3"/>
    <col width="14" customWidth="1" min="4" max="4"/>
    <col width="14" customWidth="1" min="5" max="5"/>
    <col width="14" customWidth="1" min="6" max="6"/>
    <col width="14" customWidth="1" min="7" max="7"/>
    <col width="14" customWidth="1" min="8" max="8"/>
    <col width="14" customWidth="1" min="9" max="9"/>
    <col width="60" customWidth="1" min="10" max="10"/>
  </cols>
  <sheetData>
    <row r="1">
      <c r="A1" s="1" t="inlineStr">
        <is>
          <t>04 SUBSCRIPTION ECONOMICS — retention, LTV on a contribution basis, CAC payback, LTV:CAC</t>
        </is>
      </c>
    </row>
    <row r="2">
      <c r="A2" s="2" t="inlineStr">
        <is>
          <t>Base architecture A1. CAC is compared against CONTRIBUTION, never against revenue and never against gross margin. LTV is undiscounted; at these horizons discounting changes the ratio by less than the input uncertainty.</t>
        </is>
      </c>
    </row>
    <row r="4">
      <c r="B4" s="59" t="inlineStr">
        <is>
          <t>A. USAGE AND CADENCE  (A-014, repaired by the daily-ritual decision)</t>
        </is>
      </c>
    </row>
    <row r="5" ht="15" customHeight="1">
      <c r="B5" s="4" t="inlineStr">
        <is>
          <t>Servings per monthly pack</t>
        </is>
      </c>
      <c r="C5" s="40">
        <f>'01 Inputs'!$G$15</f>
        <v/>
      </c>
      <c r="J5" s="2" t="inlineStr">
        <is>
          <t>Pack size follows daily usage, not the brief's 24.</t>
        </is>
      </c>
    </row>
    <row r="6" ht="26" customHeight="1">
      <c r="B6" s="4" t="inlineStr">
        <is>
          <t>Servings consumed per month</t>
        </is>
      </c>
      <c r="C6" s="53">
        <f>'01 Inputs'!$G$16</f>
        <v/>
      </c>
      <c r="J6" s="2" t="inlineStr">
        <is>
          <t>28-30 at base. A morning ritual is genuinely daily — this is what repairs A-014.</t>
        </is>
      </c>
    </row>
    <row r="7" ht="39" customHeight="1">
      <c r="B7" s="47" t="inlineStr">
        <is>
          <t>MONTHS OF SUPPLY per monthly pack</t>
        </is>
      </c>
      <c r="C7" s="65">
        <f>C5/C6</f>
        <v/>
      </c>
      <c r="J7" s="2" t="inlineStr">
        <is>
          <t>1.00 = perfectly matched cadence. Above 1.00 the subscriber accumulates stock, which is the classic mechanical cause of supplement cancellation ('I've got four boxes I haven't opened').</t>
        </is>
      </c>
    </row>
    <row r="8" ht="39" customHeight="1">
      <c r="B8" s="4" t="inlineStr">
        <is>
          <t>Over-shipping per month</t>
        </is>
      </c>
      <c r="C8" s="66">
        <f>C7-1</f>
        <v/>
      </c>
      <c r="J8" s="2" t="inlineStr">
        <is>
          <t>At the brief's 24-pack against the OLD occasion set this was ~45%. At a 30-pack against daily use it is near zero at base, and only bites in the downside usage case.</t>
        </is>
      </c>
    </row>
    <row r="9">
      <c r="B9" s="4" t="inlineStr">
        <is>
          <t>Months of supply per QUARTERLY pack</t>
        </is>
      </c>
      <c r="C9" s="41">
        <f>'01 Inputs'!$G$17/C6</f>
        <v/>
      </c>
    </row>
    <row r="11">
      <c r="B11" s="59" t="inlineStr">
        <is>
          <t>B. UNIT CONTRIBUTIONS CARRIED FORWARD FROM SHEET 03</t>
        </is>
      </c>
    </row>
    <row r="12">
      <c r="B12" s="47" t="inlineStr">
        <is>
          <t>Starter kit contribution — WITH case</t>
        </is>
      </c>
      <c r="C12" s="48">
        <f>'03 Unit economics'!C30</f>
        <v/>
      </c>
    </row>
    <row r="13">
      <c r="B13" s="47" t="inlineStr">
        <is>
          <t>Starter kit contribution — NO case</t>
        </is>
      </c>
      <c r="C13" s="48">
        <f>'03 Unit economics'!D30</f>
        <v/>
      </c>
    </row>
    <row r="14">
      <c r="B14" s="47" t="inlineStr">
        <is>
          <t>Monthly refill contribution</t>
        </is>
      </c>
      <c r="C14" s="48">
        <f>'03 Unit economics'!E30</f>
        <v/>
      </c>
    </row>
    <row r="15">
      <c r="B15" s="47" t="inlineStr">
        <is>
          <t>Quarterly prepay contribution</t>
        </is>
      </c>
      <c r="C15" s="48">
        <f>'03 Unit economics'!G30</f>
        <v/>
      </c>
    </row>
    <row r="16" ht="26" customHeight="1">
      <c r="B16" s="47" t="inlineStr">
        <is>
          <t>Blended CAC</t>
        </is>
      </c>
      <c r="C16" s="48">
        <f>'01 Inputs'!$G$67</f>
        <v/>
      </c>
      <c r="J16" s="2" t="inlineStr">
        <is>
          <t>A-028. The brief contains no CAC line at all. With no retail discovery route this is the entire growth model.</t>
        </is>
      </c>
    </row>
    <row r="17">
      <c r="B17" s="47" t="inlineStr">
        <is>
          <t>Total monthly churn</t>
        </is>
      </c>
      <c r="C17" s="62">
        <f>'01 Inputs'!$G$72</f>
        <v/>
      </c>
    </row>
    <row r="18">
      <c r="B18" s="47" t="inlineStr">
        <is>
          <t>Extra drop-off before first refill</t>
        </is>
      </c>
      <c r="C18" s="62">
        <f>'01 Inputs'!$G$70</f>
        <v/>
      </c>
    </row>
    <row r="20">
      <c r="B20" s="59" t="inlineStr">
        <is>
          <t>C. RETENTION CURVE BY CHURN SCENARIO  (% of starters still subscribing at each refill)</t>
        </is>
      </c>
    </row>
    <row r="21" ht="34" customHeight="1">
      <c r="B21" s="60" t="inlineStr">
        <is>
          <t>Refill month</t>
        </is>
      </c>
      <c r="C21" s="60" t="inlineStr">
        <is>
          <t>Monthly churn used</t>
        </is>
      </c>
      <c r="D21" s="34" t="inlineStr">
        <is>
          <t>Optimistic
(Inputs Low)</t>
        </is>
      </c>
      <c r="E21" s="34" t="inlineStr">
        <is>
          <t>Base
(Inputs Base)</t>
        </is>
      </c>
      <c r="F21" s="34" t="inlineStr">
        <is>
          <t>Pessimistic
(Inputs High)</t>
        </is>
      </c>
    </row>
    <row r="22">
      <c r="B22" s="67" t="inlineStr">
        <is>
          <t>churn p.m.</t>
        </is>
      </c>
      <c r="D22" s="62">
        <f>'01 Inputs'!$D$72</f>
        <v/>
      </c>
      <c r="E22" s="62">
        <f>'01 Inputs'!$E$72</f>
        <v/>
      </c>
      <c r="F22" s="62">
        <f>'01 Inputs'!$F$72</f>
        <v/>
      </c>
    </row>
    <row r="23">
      <c r="B23" s="67" t="inlineStr">
        <is>
          <t>first-refill drop</t>
        </is>
      </c>
      <c r="D23" s="62">
        <f>'01 Inputs'!$D$70</f>
        <v/>
      </c>
      <c r="E23" s="62">
        <f>'01 Inputs'!$E$70</f>
        <v/>
      </c>
      <c r="F23" s="62">
        <f>'01 Inputs'!$F$70</f>
        <v/>
      </c>
      <c r="J23" s="2" t="inlineStr">
        <is>
          <t>Retention = (1 - first-refill drop) x (1 - monthly churn)^(m-1). The first-refill drop is separate because supplement churn is front-loaded: most cancellation happens in months 1-3.</t>
        </is>
      </c>
    </row>
    <row r="24">
      <c r="B24" s="40" t="n">
        <v>1</v>
      </c>
      <c r="D24" s="66">
        <f>(1-D$23)*(1-D$22)^(1-1)</f>
        <v/>
      </c>
      <c r="E24" s="66">
        <f>(1-E$23)*(1-E$22)^(1-1)</f>
        <v/>
      </c>
      <c r="F24" s="66">
        <f>(1-F$23)*(1-F$22)^(1-1)</f>
        <v/>
      </c>
    </row>
    <row r="25">
      <c r="B25" s="40" t="n">
        <v>2</v>
      </c>
      <c r="D25" s="66">
        <f>(1-D$23)*(1-D$22)^(2-1)</f>
        <v/>
      </c>
      <c r="E25" s="66">
        <f>(1-E$23)*(1-E$22)^(2-1)</f>
        <v/>
      </c>
      <c r="F25" s="66">
        <f>(1-F$23)*(1-F$22)^(2-1)</f>
        <v/>
      </c>
    </row>
    <row r="26">
      <c r="B26" s="40" t="n">
        <v>3</v>
      </c>
      <c r="D26" s="66">
        <f>(1-D$23)*(1-D$22)^(3-1)</f>
        <v/>
      </c>
      <c r="E26" s="66">
        <f>(1-E$23)*(1-E$22)^(3-1)</f>
        <v/>
      </c>
      <c r="F26" s="66">
        <f>(1-F$23)*(1-F$22)^(3-1)</f>
        <v/>
      </c>
    </row>
    <row r="27">
      <c r="B27" s="40" t="n">
        <v>4</v>
      </c>
      <c r="D27" s="66">
        <f>(1-D$23)*(1-D$22)^(4-1)</f>
        <v/>
      </c>
      <c r="E27" s="66">
        <f>(1-E$23)*(1-E$22)^(4-1)</f>
        <v/>
      </c>
      <c r="F27" s="66">
        <f>(1-F$23)*(1-F$22)^(4-1)</f>
        <v/>
      </c>
    </row>
    <row r="28">
      <c r="B28" s="40" t="n">
        <v>5</v>
      </c>
      <c r="D28" s="66">
        <f>(1-D$23)*(1-D$22)^(5-1)</f>
        <v/>
      </c>
      <c r="E28" s="66">
        <f>(1-E$23)*(1-E$22)^(5-1)</f>
        <v/>
      </c>
      <c r="F28" s="66">
        <f>(1-F$23)*(1-F$22)^(5-1)</f>
        <v/>
      </c>
    </row>
    <row r="29">
      <c r="B29" s="40" t="n">
        <v>6</v>
      </c>
      <c r="D29" s="66">
        <f>(1-D$23)*(1-D$22)^(6-1)</f>
        <v/>
      </c>
      <c r="E29" s="66">
        <f>(1-E$23)*(1-E$22)^(6-1)</f>
        <v/>
      </c>
      <c r="F29" s="66">
        <f>(1-F$23)*(1-F$22)^(6-1)</f>
        <v/>
      </c>
    </row>
    <row r="30">
      <c r="B30" s="40" t="n">
        <v>7</v>
      </c>
      <c r="D30" s="66">
        <f>(1-D$23)*(1-D$22)^(7-1)</f>
        <v/>
      </c>
      <c r="E30" s="66">
        <f>(1-E$23)*(1-E$22)^(7-1)</f>
        <v/>
      </c>
      <c r="F30" s="66">
        <f>(1-F$23)*(1-F$22)^(7-1)</f>
        <v/>
      </c>
    </row>
    <row r="31">
      <c r="B31" s="40" t="n">
        <v>8</v>
      </c>
      <c r="D31" s="66">
        <f>(1-D$23)*(1-D$22)^(8-1)</f>
        <v/>
      </c>
      <c r="E31" s="66">
        <f>(1-E$23)*(1-E$22)^(8-1)</f>
        <v/>
      </c>
      <c r="F31" s="66">
        <f>(1-F$23)*(1-F$22)^(8-1)</f>
        <v/>
      </c>
    </row>
    <row r="32">
      <c r="B32" s="40" t="n">
        <v>9</v>
      </c>
      <c r="D32" s="66">
        <f>(1-D$23)*(1-D$22)^(9-1)</f>
        <v/>
      </c>
      <c r="E32" s="66">
        <f>(1-E$23)*(1-E$22)^(9-1)</f>
        <v/>
      </c>
      <c r="F32" s="66">
        <f>(1-F$23)*(1-F$22)^(9-1)</f>
        <v/>
      </c>
    </row>
    <row r="33">
      <c r="B33" s="40" t="n">
        <v>10</v>
      </c>
      <c r="D33" s="66">
        <f>(1-D$23)*(1-D$22)^(10-1)</f>
        <v/>
      </c>
      <c r="E33" s="66">
        <f>(1-E$23)*(1-E$22)^(10-1)</f>
        <v/>
      </c>
      <c r="F33" s="66">
        <f>(1-F$23)*(1-F$22)^(10-1)</f>
        <v/>
      </c>
    </row>
    <row r="34">
      <c r="B34" s="40" t="n">
        <v>11</v>
      </c>
      <c r="D34" s="66">
        <f>(1-D$23)*(1-D$22)^(11-1)</f>
        <v/>
      </c>
      <c r="E34" s="66">
        <f>(1-E$23)*(1-E$22)^(11-1)</f>
        <v/>
      </c>
      <c r="F34" s="66">
        <f>(1-F$23)*(1-F$22)^(11-1)</f>
        <v/>
      </c>
    </row>
    <row r="35">
      <c r="B35" s="40" t="n">
        <v>12</v>
      </c>
      <c r="D35" s="66">
        <f>(1-D$23)*(1-D$22)^(12-1)</f>
        <v/>
      </c>
      <c r="E35" s="66">
        <f>(1-E$23)*(1-E$22)^(12-1)</f>
        <v/>
      </c>
      <c r="F35" s="66">
        <f>(1-F$23)*(1-F$22)^(12-1)</f>
        <v/>
      </c>
    </row>
    <row r="36">
      <c r="B36" s="40" t="n">
        <v>13</v>
      </c>
      <c r="D36" s="66">
        <f>(1-D$23)*(1-D$22)^(13-1)</f>
        <v/>
      </c>
      <c r="E36" s="66">
        <f>(1-E$23)*(1-E$22)^(13-1)</f>
        <v/>
      </c>
      <c r="F36" s="66">
        <f>(1-F$23)*(1-F$22)^(13-1)</f>
        <v/>
      </c>
    </row>
    <row r="37">
      <c r="B37" s="40" t="n">
        <v>14</v>
      </c>
      <c r="D37" s="66">
        <f>(1-D$23)*(1-D$22)^(14-1)</f>
        <v/>
      </c>
      <c r="E37" s="66">
        <f>(1-E$23)*(1-E$22)^(14-1)</f>
        <v/>
      </c>
      <c r="F37" s="66">
        <f>(1-F$23)*(1-F$22)^(14-1)</f>
        <v/>
      </c>
    </row>
    <row r="38">
      <c r="B38" s="40" t="n">
        <v>15</v>
      </c>
      <c r="D38" s="66">
        <f>(1-D$23)*(1-D$22)^(15-1)</f>
        <v/>
      </c>
      <c r="E38" s="66">
        <f>(1-E$23)*(1-E$22)^(15-1)</f>
        <v/>
      </c>
      <c r="F38" s="66">
        <f>(1-F$23)*(1-F$22)^(15-1)</f>
        <v/>
      </c>
    </row>
    <row r="39">
      <c r="B39" s="40" t="n">
        <v>16</v>
      </c>
      <c r="D39" s="66">
        <f>(1-D$23)*(1-D$22)^(16-1)</f>
        <v/>
      </c>
      <c r="E39" s="66">
        <f>(1-E$23)*(1-E$22)^(16-1)</f>
        <v/>
      </c>
      <c r="F39" s="66">
        <f>(1-F$23)*(1-F$22)^(16-1)</f>
        <v/>
      </c>
    </row>
    <row r="40">
      <c r="B40" s="40" t="n">
        <v>17</v>
      </c>
      <c r="D40" s="66">
        <f>(1-D$23)*(1-D$22)^(17-1)</f>
        <v/>
      </c>
      <c r="E40" s="66">
        <f>(1-E$23)*(1-E$22)^(17-1)</f>
        <v/>
      </c>
      <c r="F40" s="66">
        <f>(1-F$23)*(1-F$22)^(17-1)</f>
        <v/>
      </c>
    </row>
    <row r="41">
      <c r="B41" s="40" t="n">
        <v>18</v>
      </c>
      <c r="D41" s="66">
        <f>(1-D$23)*(1-D$22)^(18-1)</f>
        <v/>
      </c>
      <c r="E41" s="66">
        <f>(1-E$23)*(1-E$22)^(18-1)</f>
        <v/>
      </c>
      <c r="F41" s="66">
        <f>(1-F$23)*(1-F$22)^(18-1)</f>
        <v/>
      </c>
    </row>
    <row r="42">
      <c r="B42" s="40" t="n">
        <v>19</v>
      </c>
      <c r="D42" s="66">
        <f>(1-D$23)*(1-D$22)^(19-1)</f>
        <v/>
      </c>
      <c r="E42" s="66">
        <f>(1-E$23)*(1-E$22)^(19-1)</f>
        <v/>
      </c>
      <c r="F42" s="66">
        <f>(1-F$23)*(1-F$22)^(19-1)</f>
        <v/>
      </c>
    </row>
    <row r="43">
      <c r="B43" s="40" t="n">
        <v>20</v>
      </c>
      <c r="D43" s="66">
        <f>(1-D$23)*(1-D$22)^(20-1)</f>
        <v/>
      </c>
      <c r="E43" s="66">
        <f>(1-E$23)*(1-E$22)^(20-1)</f>
        <v/>
      </c>
      <c r="F43" s="66">
        <f>(1-F$23)*(1-F$22)^(20-1)</f>
        <v/>
      </c>
    </row>
    <row r="44">
      <c r="B44" s="40" t="n">
        <v>21</v>
      </c>
      <c r="D44" s="66">
        <f>(1-D$23)*(1-D$22)^(21-1)</f>
        <v/>
      </c>
      <c r="E44" s="66">
        <f>(1-E$23)*(1-E$22)^(21-1)</f>
        <v/>
      </c>
      <c r="F44" s="66">
        <f>(1-F$23)*(1-F$22)^(21-1)</f>
        <v/>
      </c>
    </row>
    <row r="45">
      <c r="B45" s="40" t="n">
        <v>22</v>
      </c>
      <c r="D45" s="66">
        <f>(1-D$23)*(1-D$22)^(22-1)</f>
        <v/>
      </c>
      <c r="E45" s="66">
        <f>(1-E$23)*(1-E$22)^(22-1)</f>
        <v/>
      </c>
      <c r="F45" s="66">
        <f>(1-F$23)*(1-F$22)^(22-1)</f>
        <v/>
      </c>
    </row>
    <row r="46">
      <c r="B46" s="40" t="n">
        <v>23</v>
      </c>
      <c r="D46" s="66">
        <f>(1-D$23)*(1-D$22)^(23-1)</f>
        <v/>
      </c>
      <c r="E46" s="66">
        <f>(1-E$23)*(1-E$22)^(23-1)</f>
        <v/>
      </c>
      <c r="F46" s="66">
        <f>(1-F$23)*(1-F$22)^(23-1)</f>
        <v/>
      </c>
    </row>
    <row r="47">
      <c r="B47" s="40" t="n">
        <v>24</v>
      </c>
      <c r="D47" s="66">
        <f>(1-D$23)*(1-D$22)^(24-1)</f>
        <v/>
      </c>
      <c r="E47" s="66">
        <f>(1-E$23)*(1-E$22)^(24-1)</f>
        <v/>
      </c>
      <c r="F47" s="66">
        <f>(1-F$23)*(1-F$22)^(24-1)</f>
        <v/>
      </c>
    </row>
    <row r="49">
      <c r="B49" s="59" t="inlineStr">
        <is>
          <t>D. LTV, PAYBACK AND LTV:CAC  (contribution basis, starter kit WITH case)</t>
        </is>
      </c>
    </row>
    <row r="50">
      <c r="B50" s="60" t="inlineStr">
        <is>
          <t>Metric</t>
        </is>
      </c>
      <c r="D50" s="60" t="inlineStr">
        <is>
          <t>Optimistic churn</t>
        </is>
      </c>
      <c r="E50" s="60" t="inlineStr">
        <is>
          <t>Base churn</t>
        </is>
      </c>
      <c r="F50" s="60" t="inlineStr">
        <is>
          <t>Pessimistic churn</t>
        </is>
      </c>
    </row>
    <row r="51">
      <c r="B51" s="4" t="inlineStr">
        <is>
          <t>Months 1-12 retained subscriber-months</t>
        </is>
      </c>
      <c r="D51" s="41">
        <f>SUM(D24:D35)</f>
        <v/>
      </c>
      <c r="E51" s="41">
        <f>SUM(E24:E35)</f>
        <v/>
      </c>
      <c r="F51" s="41">
        <f>SUM(F24:F35)</f>
        <v/>
      </c>
    </row>
    <row r="52">
      <c r="B52" s="4" t="inlineStr">
        <is>
          <t>Months 1-24 retained subscriber-months</t>
        </is>
      </c>
      <c r="D52" s="41">
        <f>SUM(D24:D47)</f>
        <v/>
      </c>
      <c r="E52" s="41">
        <f>SUM(E24:E47)</f>
        <v/>
      </c>
      <c r="F52" s="41">
        <f>SUM(F24:F47)</f>
        <v/>
      </c>
    </row>
    <row r="53">
      <c r="B53" s="4" t="inlineStr">
        <is>
          <t>Starter contribution (month 0)</t>
        </is>
      </c>
      <c r="D53" s="44">
        <f>$C12</f>
        <v/>
      </c>
      <c r="E53" s="44">
        <f>$C12</f>
        <v/>
      </c>
      <c r="F53" s="44">
        <f>$C12</f>
        <v/>
      </c>
    </row>
    <row r="54">
      <c r="B54" s="4" t="inlineStr">
        <is>
          <t>Refill contribution x retained months, 12m</t>
        </is>
      </c>
      <c r="D54" s="44">
        <f>D51*$C14</f>
        <v/>
      </c>
      <c r="E54" s="44">
        <f>E51*$C14</f>
        <v/>
      </c>
      <c r="F54" s="44">
        <f>F51*$C14</f>
        <v/>
      </c>
    </row>
    <row r="55">
      <c r="B55" s="4" t="inlineStr">
        <is>
          <t>LTV 12 months (contribution)</t>
        </is>
      </c>
      <c r="D55" s="44">
        <f>D53+D54</f>
        <v/>
      </c>
      <c r="E55" s="44">
        <f>E53+E54</f>
        <v/>
      </c>
      <c r="F55" s="44">
        <f>F53+F54</f>
        <v/>
      </c>
    </row>
    <row r="56">
      <c r="B56" s="4" t="inlineStr">
        <is>
          <t>LTV 24 months (contribution)</t>
        </is>
      </c>
      <c r="D56" s="44">
        <f>$C12+D52*$C14</f>
        <v/>
      </c>
      <c r="E56" s="44">
        <f>$C12+E52*$C14</f>
        <v/>
      </c>
      <c r="F56" s="44">
        <f>$C12+F52*$C14</f>
        <v/>
      </c>
    </row>
    <row r="57">
      <c r="B57" s="4" t="inlineStr">
        <is>
          <t>CAC</t>
        </is>
      </c>
      <c r="D57" s="44">
        <f>$C16</f>
        <v/>
      </c>
      <c r="E57" s="44">
        <f>$C16</f>
        <v/>
      </c>
      <c r="F57" s="44">
        <f>$C16</f>
        <v/>
      </c>
    </row>
    <row r="58">
      <c r="B58" s="4" t="inlineStr">
        <is>
          <t>LTV:CAC — 12 months</t>
        </is>
      </c>
      <c r="D58" s="68">
        <f>D55/D57</f>
        <v/>
      </c>
      <c r="E58" s="68">
        <f>E55/E57</f>
        <v/>
      </c>
      <c r="F58" s="68">
        <f>F55/F57</f>
        <v/>
      </c>
    </row>
    <row r="59">
      <c r="B59" s="4" t="inlineStr">
        <is>
          <t>LTV:CAC — 24 months</t>
        </is>
      </c>
      <c r="D59" s="68">
        <f>D56/D57</f>
        <v/>
      </c>
      <c r="E59" s="68">
        <f>E56/E57</f>
        <v/>
      </c>
      <c r="F59" s="68">
        <f>F56/F57</f>
        <v/>
      </c>
    </row>
    <row r="60">
      <c r="B60" s="4" t="inlineStr">
        <is>
          <t>CAC payback (months of refills after the starter)</t>
        </is>
      </c>
      <c r="D60" s="69">
        <f>IF($C12&gt;=$C16,0,IF($C12+$C14*(1-D$23)/D$22&lt;=$C16,"never",LN(1-($C16-$C12)*D$22/($C14*(1-D$23)))/LN(1-D$22)))</f>
        <v/>
      </c>
      <c r="E60" s="69">
        <f>IF($C12&gt;=$C16,0,IF($C12+$C14*(1-E$23)/E$22&lt;=$C16,"never",LN(1-($C16-$C12)*E$22/($C14*(1-E$23)))/LN(1-E$22)))</f>
        <v/>
      </c>
      <c r="F60" s="69">
        <f>IF($C12&gt;=$C16,0,IF($C12+$C14*(1-F$23)/F$22&lt;=$C16,"never",LN(1-($C16-$C12)*F$22/($C14*(1-F$23)))/LN(1-F$22)))</f>
        <v/>
      </c>
    </row>
    <row r="61">
      <c r="B61" s="4" t="inlineStr">
        <is>
          <t>Cumulative contribution at month 12 minus CAC</t>
        </is>
      </c>
      <c r="D61" s="44">
        <f>D55-D57</f>
        <v/>
      </c>
      <c r="E61" s="44">
        <f>E55-E57</f>
        <v/>
      </c>
      <c r="F61" s="44">
        <f>F55-F57</f>
        <v/>
      </c>
    </row>
    <row r="62">
      <c r="B62" s="4" t="inlineStr">
        <is>
          <t>MAXIMUM LIFETIME CONTRIBUTION (infinite horizon — the ceiling)</t>
        </is>
      </c>
      <c r="D62" s="49">
        <f>$C12+$C14*(1-D$23)/D$22</f>
        <v/>
      </c>
      <c r="E62" s="49">
        <f>$C12+$C14*(1-E$23)/E$22</f>
        <v/>
      </c>
      <c r="F62" s="49">
        <f>$C12+$C14*(1-F$23)/F$22</f>
        <v/>
      </c>
    </row>
    <row r="63">
      <c r="B63" s="4" t="inlineStr">
        <is>
          <t>MAX LTV:CAC (infinite horizon)</t>
        </is>
      </c>
      <c r="D63" s="70">
        <f>D62/D57</f>
        <v/>
      </c>
      <c r="E63" s="70">
        <f>E62/E57</f>
        <v/>
      </c>
      <c r="F63" s="70">
        <f>F62/F57</f>
        <v/>
      </c>
    </row>
    <row r="64">
      <c r="B64" s="4" t="inlineStr">
        <is>
          <t>Expected subscriber lifetime (months)</t>
        </is>
      </c>
      <c r="D64" s="53">
        <f>(1-D$23)/D$22</f>
        <v/>
      </c>
      <c r="E64" s="53">
        <f>(1-E$23)/E$22</f>
        <v/>
      </c>
      <c r="F64" s="53">
        <f>(1-F$23)/F$22</f>
        <v/>
      </c>
    </row>
    <row r="66">
      <c r="B66" s="59" t="inlineStr">
        <is>
          <t>E. THE SAME THING WITHOUT THE CASE, AND ON QUARTERLY CADENCE (base churn)</t>
        </is>
      </c>
    </row>
    <row r="67">
      <c r="B67" s="4" t="inlineStr">
        <is>
          <t>LTV 12m — starter WITHOUT case</t>
        </is>
      </c>
      <c r="C67" s="48">
        <f>$C13+E51*$C14</f>
        <v/>
      </c>
    </row>
    <row r="68">
      <c r="B68" s="4" t="inlineStr">
        <is>
          <t>LTV:CAC 12m — starter WITHOUT case</t>
        </is>
      </c>
      <c r="C68" s="68">
        <f>C67/$C16</f>
        <v/>
      </c>
    </row>
    <row r="69">
      <c r="B69" s="4" t="inlineStr">
        <is>
          <t>CAC payback — starter WITHOUT case (months)</t>
        </is>
      </c>
      <c r="C69" s="69">
        <f>IF($C13&gt;=$C16,0,IF($C13+$C14*(1-E$23)/E$22&lt;=$C16,"never",LN(1-($C16-$C13)*E$22/($C14*(1-E$23)))/LN(1-E$22)))</f>
        <v/>
      </c>
    </row>
    <row r="70">
      <c r="B70" s="4" t="inlineStr">
        <is>
          <t>Case cost to include in the starter kit (COGS incl. tooling)</t>
        </is>
      </c>
      <c r="C70" s="48">
        <f>'01 Inputs'!$G$37</f>
        <v/>
      </c>
    </row>
    <row r="71">
      <c r="B71" s="4" t="inlineStr">
        <is>
          <t>Extra price the case must earn to be contribution-neutral (inc VAT)</t>
        </is>
      </c>
      <c r="C71" s="48">
        <f>'01 Inputs'!$G$37*(1+'01 Inputs'!$G$11)/'01 Inputs'!$G$90</f>
        <v/>
      </c>
    </row>
    <row r="72">
      <c r="B72" s="4" t="inlineStr">
        <is>
          <t>LTV 12m — QUARTERLY cadence (4 shipments/yr incl. the starter quarter)</t>
        </is>
      </c>
      <c r="C72" s="48">
        <f>$C15+(C15*3)</f>
        <v/>
      </c>
    </row>
    <row r="73">
      <c r="B73" s="4" t="inlineStr">
        <is>
          <t>Quarterly: contribution per serving</t>
        </is>
      </c>
      <c r="C73" s="58">
        <f>'03 Unit economics'!G32</f>
        <v/>
      </c>
    </row>
    <row r="74">
      <c r="B74" s="4" t="inlineStr">
        <is>
          <t>Quarterly: annual contribution per retained customer at base churn</t>
        </is>
      </c>
      <c r="C74" s="48">
        <f>$C15*(1+(1-E$23)*((1-(1-E$22)^3)/E$22/3)*3)</f>
        <v/>
      </c>
    </row>
    <row r="76">
      <c r="B76" s="33" t="inlineStr">
        <is>
          <t>READ THIS. The quarterly line is approximate — it assumes churn is only expressed at renewal points, which is the POINT of quarterly cadence: four decision moments a year instead of twelve. If quarterly cadence cuts the number of cancellation opportunities by two thirds, it is worth more than any price change available to us.</t>
        </is>
      </c>
    </row>
    <row r="77">
      <c r="B77" s="59" t="inlineStr">
        <is>
          <t>F. CADENCE — THE CHEAPEST LEVER IN THE MODEL (price per serving held constant at architecture A1's £0.666 inc VAT)</t>
        </is>
      </c>
    </row>
    <row r="78" ht="32" customHeight="1">
      <c r="A78" s="34" t="inlineStr"/>
      <c r="B78" s="34" t="inlineStr">
        <is>
          <t>Shipment cadence</t>
        </is>
      </c>
      <c r="C78" s="34" t="inlineStr">
        <is>
          <t>Tablets per shipment</t>
        </is>
      </c>
      <c r="D78" s="34" t="inlineStr">
        <is>
          <t>Price inc VAT</t>
        </is>
      </c>
      <c r="E78" s="34" t="inlineStr">
        <is>
          <t>Shipped weight (g)</t>
        </is>
      </c>
      <c r="F78" s="34" t="inlineStr">
        <is>
          <t>Postage</t>
        </is>
      </c>
      <c r="G78" s="34" t="inlineStr">
        <is>
          <t>Contribution per shipment</t>
        </is>
      </c>
      <c r="H78" s="34" t="inlineStr">
        <is>
          <t>Contribution per CALENDAR MONTH</t>
        </is>
      </c>
      <c r="I78" s="34" t="inlineStr">
        <is>
          <t>Max lifetime contribution</t>
        </is>
      </c>
      <c r="J78" s="34" t="inlineStr">
        <is>
          <t>Max LTV:CAC</t>
        </is>
      </c>
    </row>
    <row r="79">
      <c r="B79" s="3" t="inlineStr">
        <is>
          <t>1 month</t>
        </is>
      </c>
      <c r="C79" s="40">
        <f>1*'01 Inputs'!$G$15</f>
        <v/>
      </c>
      <c r="D79" s="44">
        <f>C79*'01 Inputs'!$G$76/'01 Inputs'!$G$15</f>
        <v/>
      </c>
      <c r="E79" s="53">
        <f>C79*'01 Inputs'!$G$14+C79*'01 Inputs'!$G$40+'01 Inputs'!$G$41</f>
        <v/>
      </c>
      <c r="F79" s="44">
        <f>IF(E79&lt;=100,'01 Inputs'!$G$43,IF(E79&lt;=250,'01 Inputs'!$G$44,IF(E79&lt;=500,'01 Inputs'!$G$45,IF(E79&lt;=750,'01 Inputs'!$G$46,'01 Inputs'!$G$47))))*'01 Inputs'!$G$48</f>
        <v/>
      </c>
      <c r="G79" s="48">
        <f>((D79*'01 Inputs'!$G$90)/(1+'01 Inputs'!$G$11))-(C79*'01 Inputs'!$G$29+C79*'01 Inputs'!$G$31+'01 Inputs'!$G$32+'01 Inputs'!$G$33)-('01 Inputs'!$G$39+F79+((D79*'01 Inputs'!$G$90)*'01 Inputs'!$G$50+'01 Inputs'!$G$51)+'01 Inputs'!$G$53+('01 Inputs'!$G$52*((C79*'01 Inputs'!$G$29+C79*'01 Inputs'!$G$31+'01 Inputs'!$G$32+'01 Inputs'!$G$33)+'01 Inputs'!$G$39+F79))+('01 Inputs'!$G$54*(((D79*'01 Inputs'!$G$90)/(1+'01 Inputs'!$G$11))+(C79*'01 Inputs'!$G$29+C79*'01 Inputs'!$G$31+'01 Inputs'!$G$32+'01 Inputs'!$G$33)+F79)))</f>
        <v/>
      </c>
      <c r="H79" s="49">
        <f>G79/1</f>
        <v/>
      </c>
      <c r="I79" s="49">
        <f>$C12+H79*(1-'01 Inputs'!$G$70)/'01 Inputs'!$G$72</f>
        <v/>
      </c>
      <c r="J79" s="70">
        <f>I79/$C16</f>
        <v/>
      </c>
    </row>
    <row r="80">
      <c r="B80" s="3" t="inlineStr">
        <is>
          <t>2 months</t>
        </is>
      </c>
      <c r="C80" s="40">
        <f>2*'01 Inputs'!$G$15</f>
        <v/>
      </c>
      <c r="D80" s="44">
        <f>C80*'01 Inputs'!$G$76/'01 Inputs'!$G$15</f>
        <v/>
      </c>
      <c r="E80" s="53">
        <f>C80*'01 Inputs'!$G$14+C80*'01 Inputs'!$G$40+'01 Inputs'!$G$41</f>
        <v/>
      </c>
      <c r="F80" s="44">
        <f>IF(E80&lt;=100,'01 Inputs'!$G$43,IF(E80&lt;=250,'01 Inputs'!$G$44,IF(E80&lt;=500,'01 Inputs'!$G$45,IF(E80&lt;=750,'01 Inputs'!$G$46,'01 Inputs'!$G$47))))*'01 Inputs'!$G$48</f>
        <v/>
      </c>
      <c r="G80" s="48">
        <f>((D80*'01 Inputs'!$G$90)/(1+'01 Inputs'!$G$11))-(C80*'01 Inputs'!$G$29+C80*'01 Inputs'!$G$31+'01 Inputs'!$G$32+'01 Inputs'!$G$33)-('01 Inputs'!$G$39+F80+((D80*'01 Inputs'!$G$90)*'01 Inputs'!$G$50+'01 Inputs'!$G$51)+'01 Inputs'!$G$53+('01 Inputs'!$G$52*((C80*'01 Inputs'!$G$29+C80*'01 Inputs'!$G$31+'01 Inputs'!$G$32+'01 Inputs'!$G$33)+'01 Inputs'!$G$39+F80))+('01 Inputs'!$G$54*(((D80*'01 Inputs'!$G$90)/(1+'01 Inputs'!$G$11))+(C80*'01 Inputs'!$G$29+C80*'01 Inputs'!$G$31+'01 Inputs'!$G$32+'01 Inputs'!$G$33)+F80)))</f>
        <v/>
      </c>
      <c r="H80" s="49">
        <f>G80/2</f>
        <v/>
      </c>
      <c r="I80" s="49">
        <f>$C12+H80*(1-'01 Inputs'!$G$70)/'01 Inputs'!$G$72</f>
        <v/>
      </c>
      <c r="J80" s="70">
        <f>I80/$C16</f>
        <v/>
      </c>
    </row>
    <row r="81">
      <c r="B81" s="3" t="inlineStr">
        <is>
          <t>3 months</t>
        </is>
      </c>
      <c r="C81" s="40">
        <f>3*'01 Inputs'!$G$15</f>
        <v/>
      </c>
      <c r="D81" s="44">
        <f>C81*'01 Inputs'!$G$76/'01 Inputs'!$G$15</f>
        <v/>
      </c>
      <c r="E81" s="53">
        <f>C81*'01 Inputs'!$G$14+C81*'01 Inputs'!$G$40+'01 Inputs'!$G$41</f>
        <v/>
      </c>
      <c r="F81" s="44">
        <f>IF(E81&lt;=100,'01 Inputs'!$G$43,IF(E81&lt;=250,'01 Inputs'!$G$44,IF(E81&lt;=500,'01 Inputs'!$G$45,IF(E81&lt;=750,'01 Inputs'!$G$46,'01 Inputs'!$G$47))))*'01 Inputs'!$G$48</f>
        <v/>
      </c>
      <c r="G81" s="48">
        <f>((D81*'01 Inputs'!$G$90)/(1+'01 Inputs'!$G$11))-(C81*'01 Inputs'!$G$29+C81*'01 Inputs'!$G$31+'01 Inputs'!$G$32+'01 Inputs'!$G$33)-('01 Inputs'!$G$39+F81+((D81*'01 Inputs'!$G$90)*'01 Inputs'!$G$50+'01 Inputs'!$G$51)+'01 Inputs'!$G$53+('01 Inputs'!$G$52*((C81*'01 Inputs'!$G$29+C81*'01 Inputs'!$G$31+'01 Inputs'!$G$32+'01 Inputs'!$G$33)+'01 Inputs'!$G$39+F81))+('01 Inputs'!$G$54*(((D81*'01 Inputs'!$G$90)/(1+'01 Inputs'!$G$11))+(C81*'01 Inputs'!$G$29+C81*'01 Inputs'!$G$31+'01 Inputs'!$G$32+'01 Inputs'!$G$33)+F81)))</f>
        <v/>
      </c>
      <c r="H81" s="49">
        <f>G81/3</f>
        <v/>
      </c>
      <c r="I81" s="49">
        <f>$C12+H81*(1-'01 Inputs'!$G$70)/'01 Inputs'!$G$72</f>
        <v/>
      </c>
      <c r="J81" s="70">
        <f>I81/$C16</f>
        <v/>
      </c>
    </row>
    <row r="82">
      <c r="B82" s="3" t="inlineStr">
        <is>
          <t>6 months</t>
        </is>
      </c>
      <c r="C82" s="40">
        <f>6*'01 Inputs'!$G$15</f>
        <v/>
      </c>
      <c r="D82" s="44">
        <f>C82*'01 Inputs'!$G$76/'01 Inputs'!$G$15</f>
        <v/>
      </c>
      <c r="E82" s="53">
        <f>C82*'01 Inputs'!$G$14+C82*'01 Inputs'!$G$40+'01 Inputs'!$G$41</f>
        <v/>
      </c>
      <c r="F82" s="44">
        <f>IF(E82&lt;=100,'01 Inputs'!$G$43,IF(E82&lt;=250,'01 Inputs'!$G$44,IF(E82&lt;=500,'01 Inputs'!$G$45,IF(E82&lt;=750,'01 Inputs'!$G$46,'01 Inputs'!$G$47))))*'01 Inputs'!$G$48</f>
        <v/>
      </c>
      <c r="G82" s="48">
        <f>((D82*'01 Inputs'!$G$90)/(1+'01 Inputs'!$G$11))-(C82*'01 Inputs'!$G$29+C82*'01 Inputs'!$G$31+'01 Inputs'!$G$32+'01 Inputs'!$G$33)-('01 Inputs'!$G$39+F82+((D82*'01 Inputs'!$G$90)*'01 Inputs'!$G$50+'01 Inputs'!$G$51)+'01 Inputs'!$G$53+('01 Inputs'!$G$52*((C82*'01 Inputs'!$G$29+C82*'01 Inputs'!$G$31+'01 Inputs'!$G$32+'01 Inputs'!$G$33)+'01 Inputs'!$G$39+F82))+('01 Inputs'!$G$54*(((D82*'01 Inputs'!$G$90)/(1+'01 Inputs'!$G$11))+(C82*'01 Inputs'!$G$29+C82*'01 Inputs'!$G$31+'01 Inputs'!$G$32+'01 Inputs'!$G$33)+F82)))</f>
        <v/>
      </c>
      <c r="H82" s="49">
        <f>G82/6</f>
        <v/>
      </c>
      <c r="I82" s="49">
        <f>$C12+H82*(1-'01 Inputs'!$G$70)/'01 Inputs'!$G$72</f>
        <v/>
      </c>
      <c r="J82" s="70">
        <f>I82/$C16</f>
        <v/>
      </c>
    </row>
    <row r="83" ht="62" customHeight="1">
      <c r="B83" s="64" t="inlineStr">
        <is>
          <t>WHY THIS TABLE MATTERS MORE THAN THE PRICE TABLE. Fulfilment, postage and the fixed part of the payment fee are charged PER ORDER, not per serving. At a monthly cadence they consume roughly a fifth of net revenue; at a quarterly cadence, a third of that. Lengthening the cadence raises the contribution per calendar month at an UNCHANGED price per serving — it is the only lever in this workbook that improves the economics without asking the customer to pay more or the manufacturer to charge less. Watch the six-month row: it breaches the 750 g Royal Mail Large Letter ceiling, becomes a parcel, and the gain stops. That is where the format's postal advantage runs out.</t>
        </is>
      </c>
    </row>
  </sheetData>
  <mergeCells count="1">
    <mergeCell ref="B83:J8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4" customWidth="1" min="1" max="1"/>
    <col width="44" customWidth="1" min="2" max="2"/>
    <col width="13" customWidth="1" min="3" max="3"/>
    <col width="13" customWidth="1" min="4" max="4"/>
    <col width="13" customWidth="1" min="5" max="5"/>
    <col width="13" customWidth="1" min="6" max="6"/>
    <col width="13" customWidth="1" min="7" max="7"/>
    <col width="60" customWidth="1" min="8" max="8"/>
  </cols>
  <sheetData>
    <row r="1">
      <c r="A1" s="1" t="inlineStr">
        <is>
          <t>05 CHANNEL AND PACK CONSISTENCY — price per serving everywhere, with cannibalisation flags</t>
        </is>
      </c>
    </row>
    <row r="2">
      <c r="A2" s="2" t="inlineStr">
        <is>
          <t>Under the D2C-only decision the retail half of A-003 is moot for Phase 1. The internal ladder still has to be coherent, and the retail row is kept so the user can see what was abandoned.</t>
        </is>
      </c>
    </row>
    <row r="4" ht="32" customHeight="1">
      <c r="A4" s="34" t="inlineStr"/>
      <c r="B4" s="34" t="inlineStr">
        <is>
          <t>Channel / pack</t>
        </is>
      </c>
      <c r="C4" s="34" t="inlineStr">
        <is>
          <t>List price inc VAT</t>
        </is>
      </c>
      <c r="D4" s="34" t="inlineStr">
        <is>
          <t>Servings</t>
        </is>
      </c>
      <c r="E4" s="34" t="inlineStr">
        <is>
          <t>£/serving inc VAT</t>
        </is>
      </c>
      <c r="F4" s="34" t="inlineStr">
        <is>
          <t>£/serving NET</t>
        </is>
      </c>
      <c r="G4" s="34" t="inlineStr">
        <is>
          <t>Contribution / serving</t>
        </is>
      </c>
      <c r="H4" s="34" t="inlineStr">
        <is>
          <t>Cannibalisation check</t>
        </is>
      </c>
    </row>
    <row r="5" ht="26" customHeight="1">
      <c r="B5" s="4" t="inlineStr">
        <is>
          <t>D2C starter kit, month 1 (WITH case)</t>
        </is>
      </c>
      <c r="C5" s="44">
        <f>'01 Inputs'!$G$74</f>
        <v/>
      </c>
      <c r="D5" s="40">
        <f>'01 Inputs'!$G$15</f>
        <v/>
      </c>
      <c r="E5" s="58">
        <f>C5/D5</f>
        <v/>
      </c>
      <c r="F5" s="39">
        <f>E5/(1+'01 Inputs'!$G$11)</f>
        <v/>
      </c>
      <c r="G5" s="39">
        <f>'03 Unit economics'!C32</f>
        <v/>
      </c>
      <c r="H5" s="2" t="inlineStr">
        <is>
          <t>Entry price carries the hardware. Highest £/serving in month 1 — acceptable only if the case is genuinely wanted (A-025, UNPROVEN).</t>
        </is>
      </c>
    </row>
    <row r="6" ht="26" customHeight="1">
      <c r="B6" s="4" t="inlineStr">
        <is>
          <t>D2C starter kit, month 1 (NO case)</t>
        </is>
      </c>
      <c r="C6" s="44">
        <f>'01 Inputs'!$G$75</f>
        <v/>
      </c>
      <c r="D6" s="40">
        <f>'01 Inputs'!$G$15</f>
        <v/>
      </c>
      <c r="E6" s="58">
        <f>C6/D6</f>
        <v/>
      </c>
      <c r="F6" s="39">
        <f>E6/(1+'01 Inputs'!$G$11)</f>
        <v/>
      </c>
      <c r="G6" s="39">
        <f>'03 Unit economics'!D32</f>
        <v/>
      </c>
      <c r="H6" s="2" t="inlineStr">
        <is>
          <t>Same tablets, no hardware. If this converts materially better, the case is a tax on acquisition, not a feature.</t>
        </is>
      </c>
    </row>
    <row r="7" ht="15" customHeight="1">
      <c r="B7" s="4" t="inlineStr">
        <is>
          <t>D2C subscription refill (monthly)</t>
        </is>
      </c>
      <c r="C7" s="44">
        <f>'01 Inputs'!$G$76</f>
        <v/>
      </c>
      <c r="D7" s="40">
        <f>'01 Inputs'!$G$15</f>
        <v/>
      </c>
      <c r="E7" s="58">
        <f>C7/D7</f>
        <v/>
      </c>
      <c r="F7" s="39">
        <f>E7/(1+'01 Inputs'!$G$11)</f>
        <v/>
      </c>
      <c r="G7" s="39">
        <f>'03 Unit economics'!E32</f>
        <v/>
      </c>
      <c r="H7" s="2" t="inlineStr">
        <is>
          <t>The reference price. Everything else must be coherent against it.</t>
        </is>
      </c>
    </row>
    <row r="8" ht="15" customHeight="1">
      <c r="B8" s="4" t="inlineStr">
        <is>
          <t>D2C one-off refill (non-subscriber)</t>
        </is>
      </c>
      <c r="C8" s="44">
        <f>'01 Inputs'!$G$77</f>
        <v/>
      </c>
      <c r="D8" s="40">
        <f>'01 Inputs'!$G$15</f>
        <v/>
      </c>
      <c r="E8" s="58">
        <f>C8/D8</f>
        <v/>
      </c>
      <c r="F8" s="39">
        <f>E8/(1+'01 Inputs'!$G$11)</f>
        <v/>
      </c>
      <c r="G8" s="39">
        <f>'03 Unit economics'!F32</f>
        <v/>
      </c>
      <c r="H8" s="2" t="inlineStr">
        <is>
          <t>MUST be above the subscription per serving. Flag below.</t>
        </is>
      </c>
    </row>
    <row r="9" ht="26" customHeight="1">
      <c r="B9" s="4" t="inlineStr">
        <is>
          <t>D2C quarterly prepay</t>
        </is>
      </c>
      <c r="C9" s="44">
        <f>'01 Inputs'!$G$78</f>
        <v/>
      </c>
      <c r="D9" s="40">
        <f>'01 Inputs'!$G$17</f>
        <v/>
      </c>
      <c r="E9" s="58">
        <f>C9/D9</f>
        <v/>
      </c>
      <c r="F9" s="39">
        <f>E9/(1+'01 Inputs'!$G$11)</f>
        <v/>
      </c>
      <c r="G9" s="39">
        <f>'03 Unit economics'!G32</f>
        <v/>
      </c>
      <c r="H9" s="2" t="inlineStr">
        <is>
          <t>Must be below monthly (rewards commitment) but not so far below that it simply discounts the monthly base. Flag below.</t>
        </is>
      </c>
    </row>
    <row r="10" ht="26" customHeight="1">
      <c r="B10" s="4" t="inlineStr">
        <is>
          <t>Retail tube (15) — OUT OF SCOPE, reference</t>
        </is>
      </c>
      <c r="C10" s="44">
        <f>'01 Inputs'!$G$79</f>
        <v/>
      </c>
      <c r="D10" s="40">
        <f>'01 Inputs'!$G$80</f>
        <v/>
      </c>
      <c r="E10" s="58">
        <f>C10/D10</f>
        <v/>
      </c>
      <c r="F10" s="39">
        <f>E10/(1+'01 Inputs'!$G$11)</f>
        <v/>
      </c>
      <c r="G10" s="39">
        <f>'03 Unit economics'!H32</f>
        <v/>
      </c>
      <c r="H10" s="2" t="inlineStr">
        <is>
          <t>The abandoned architecture. A-003: retail undercut the subscription by 44.1% per serving, handing every subscriber a cancellation argument.</t>
        </is>
      </c>
    </row>
    <row r="12">
      <c r="B12" s="3" t="inlineStr">
        <is>
          <t>CANNIBALISATION FLAGS (live)</t>
        </is>
      </c>
    </row>
    <row r="13" ht="28" customHeight="1">
      <c r="B13" s="4" t="inlineStr">
        <is>
          <t>One-off refill priced ABOVE subscription per serving?</t>
        </is>
      </c>
      <c r="C13" s="47">
        <f>IF(E8&gt;E7,"OK — premium of "&amp;TEXT((E8-E7)/E7,"0.0%")&amp;" gives a real reason to subscribe","FAIL — no reason to subscribe")</f>
        <v/>
      </c>
    </row>
    <row r="14" ht="28" customHeight="1">
      <c r="B14" s="4" t="inlineStr">
        <is>
          <t>Quarterly priced BELOW monthly per serving?</t>
        </is>
      </c>
      <c r="C14" s="47">
        <f>IF(E9&lt;E7,"OK — saving of "&amp;TEXT((E7-E9)/E7,"0.0%"),"FAIL — quarterly must reward commitment")</f>
        <v/>
      </c>
    </row>
    <row r="15" ht="28" customHeight="1">
      <c r="B15" s="4" t="inlineStr">
        <is>
          <t>Quarterly discount within a sane 5-20% band?</t>
        </is>
      </c>
      <c r="C15" s="47">
        <f>IF(AND((E7-E9)/E7&gt;=0.05,(E7-E9)/E7&lt;=0.2),"OK","REVIEW — a discount outside 5-20% either fails to motivate or simply reprices the base")</f>
        <v/>
      </c>
    </row>
    <row r="16" ht="28" customHeight="1">
      <c r="B16" s="4" t="inlineStr">
        <is>
          <t>Starter kit (with case) month-1 £/serving vs ongoing</t>
        </is>
      </c>
      <c r="C16" s="47">
        <f>IF(E5&gt;E7,"Entry is "&amp;TEXT(E5/E7-1,"0.0%")&amp;" dearer per serving than ongoing — the case is an acquisition tax","Entry is discounted — check it does not train discount-seeking")</f>
        <v/>
      </c>
    </row>
    <row r="17" ht="28" customHeight="1">
      <c r="B17" s="4" t="inlineStr">
        <is>
          <t>Starter kit (no case) vs ongoing</t>
        </is>
      </c>
      <c r="C17" s="47">
        <f>IF(E6&gt;E7,"Entry dearer than ongoing — unusual for D2C","Entry at or below ongoing — conventional; watch the payback on sheet 04")</f>
        <v/>
      </c>
    </row>
    <row r="18" ht="28" customHeight="1">
      <c r="B18" s="4" t="inlineStr">
        <is>
          <t>RETAIL (out of scope) vs subscription per serving</t>
        </is>
      </c>
      <c r="C18" s="47">
        <f>IF(E10&lt;E7,"THE A-003 INVERSION: retail undercuts subscription by "&amp;TEXT((E7-E10)/E7,"0.0%")&amp;". Moot under D2C-only, but it is why retail was dropped.","No inversion")</f>
        <v/>
      </c>
    </row>
    <row r="19" ht="28" customHeight="1">
      <c r="B19" s="4" t="inlineStr">
        <is>
          <t>Own-label effervescent vitamin C anchor (£0.060/serving)</t>
        </is>
      </c>
      <c r="C19" s="47">
        <f>TEXT(E7/0.06,"0.0")&amp;"x the cheapest effervescent vitamin in the dataset. This anchor is one Google search away and does not disappear under D2C."</f>
        <v/>
      </c>
    </row>
  </sheetData>
  <mergeCells count="7">
    <mergeCell ref="C16:H16"/>
    <mergeCell ref="C19:H19"/>
    <mergeCell ref="C14:H14"/>
    <mergeCell ref="C13:H13"/>
    <mergeCell ref="C18:H18"/>
    <mergeCell ref="C17:H17"/>
    <mergeCell ref="C15:H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3"/>
  <sheetViews>
    <sheetView showGridLines="0" workbookViewId="0">
      <selection activeCell="A1" sqref="A1"/>
    </sheetView>
  </sheetViews>
  <sheetFormatPr baseColWidth="8" defaultRowHeight="15"/>
  <cols>
    <col width="4" customWidth="1" min="1" max="1"/>
    <col width="48" customWidth="1" min="2" max="2"/>
    <col width="15" customWidth="1" min="3" max="3"/>
    <col width="15" customWidth="1" min="4" max="4"/>
    <col width="15" customWidth="1" min="5" max="5"/>
    <col width="15" customWidth="1" min="6" max="6"/>
    <col width="15" customWidth="1" min="7" max="7"/>
    <col width="15" customWidth="1" min="8" max="8"/>
    <col width="55" customWidth="1" min="9" max="9"/>
  </cols>
  <sheetData>
    <row r="1">
      <c r="A1" s="1" t="inlineStr">
        <is>
          <t>06 SCENARIOS AND SENSITIVITY</t>
        </is>
      </c>
    </row>
    <row r="2">
      <c r="A2" s="2" t="inlineStr">
        <is>
          <t>Part A builds Downside / Base / Upside independently of the scenario switch, by pointing each driver at the right Inputs column. Part B is a one-variable-at-a-time sensitivity on the base case.</t>
        </is>
      </c>
    </row>
    <row r="4">
      <c r="B4" s="59" t="inlineStr">
        <is>
          <t>PART A — SCENARIO DRIVERS (each cell points at the Low, Base or High column of sheet 01)</t>
        </is>
      </c>
    </row>
    <row r="5" ht="32" customHeight="1">
      <c r="A5" s="34" t="inlineStr"/>
      <c r="B5" s="34" t="inlineStr">
        <is>
          <t>Driver</t>
        </is>
      </c>
      <c r="C5" s="34" t="inlineStr">
        <is>
          <t>DOWNSIDE</t>
        </is>
      </c>
      <c r="D5" s="34" t="inlineStr">
        <is>
          <t>BASE</t>
        </is>
      </c>
      <c r="E5" s="34" t="inlineStr">
        <is>
          <t>UPSIDE</t>
        </is>
      </c>
      <c r="F5" s="34" t="inlineStr"/>
      <c r="G5" s="34" t="inlineStr"/>
      <c r="H5" s="34" t="inlineStr"/>
      <c r="I5" s="34" t="inlineStr">
        <is>
          <t>Which Inputs column each case uses</t>
        </is>
      </c>
    </row>
    <row r="6">
      <c r="B6" s="4" t="inlineStr">
        <is>
          <t>VAT rate on the product (standard-rated)</t>
        </is>
      </c>
      <c r="C6" s="71">
        <f>'01 Inputs'!$D$11</f>
        <v/>
      </c>
      <c r="D6" s="71">
        <f>'01 Inputs'!$E$11</f>
        <v/>
      </c>
      <c r="E6" s="71">
        <f>'01 Inputs'!$D$11</f>
        <v/>
      </c>
      <c r="I6" s="67" t="inlineStr">
        <is>
          <t>Downside uses column D, Upside uses column D</t>
        </is>
      </c>
    </row>
    <row r="7">
      <c r="B7" s="4" t="inlineStr">
        <is>
          <t>Tablet mass</t>
        </is>
      </c>
      <c r="C7" s="69">
        <f>'01 Inputs'!$D$14</f>
        <v/>
      </c>
      <c r="D7" s="69">
        <f>'01 Inputs'!$E$14</f>
        <v/>
      </c>
      <c r="E7" s="69">
        <f>'01 Inputs'!$D$14</f>
        <v/>
      </c>
      <c r="I7" s="67" t="inlineStr">
        <is>
          <t>Downside uses column D, Upside uses column D</t>
        </is>
      </c>
    </row>
    <row r="8">
      <c r="B8" s="4" t="inlineStr">
        <is>
          <t>Servings per monthly pack</t>
        </is>
      </c>
      <c r="C8" s="3">
        <f>'01 Inputs'!$D$15</f>
        <v/>
      </c>
      <c r="D8" s="3">
        <f>'01 Inputs'!$E$15</f>
        <v/>
      </c>
      <c r="E8" s="3">
        <f>'01 Inputs'!$D$15</f>
        <v/>
      </c>
      <c r="I8" s="67" t="inlineStr">
        <is>
          <t>Downside uses column D, Upside uses column D</t>
        </is>
      </c>
    </row>
    <row r="9">
      <c r="B9" s="4" t="inlineStr">
        <is>
          <t>Servings actually consumed per month</t>
        </is>
      </c>
      <c r="C9" s="3">
        <f>'01 Inputs'!$D$16</f>
        <v/>
      </c>
      <c r="D9" s="3">
        <f>'01 Inputs'!$E$16</f>
        <v/>
      </c>
      <c r="E9" s="3">
        <f>'01 Inputs'!$F$16</f>
        <v/>
      </c>
      <c r="I9" s="67" t="inlineStr">
        <is>
          <t>Downside uses column D, Upside uses column F</t>
        </is>
      </c>
    </row>
    <row r="10">
      <c r="B10" s="4" t="inlineStr">
        <is>
          <t>Servings per quarterly prepay pack</t>
        </is>
      </c>
      <c r="C10" s="3">
        <f>'01 Inputs'!$D$17</f>
        <v/>
      </c>
      <c r="D10" s="3">
        <f>'01 Inputs'!$E$17</f>
        <v/>
      </c>
      <c r="E10" s="3">
        <f>'01 Inputs'!$D$17</f>
        <v/>
      </c>
      <c r="I10" s="67" t="inlineStr">
        <is>
          <t>Downside uses column D, Upside uses column D</t>
        </is>
      </c>
    </row>
    <row r="11">
      <c r="B11" s="4" t="inlineStr">
        <is>
          <t>TOTAL TABLET COGS  (follows switch C6)</t>
        </is>
      </c>
      <c r="C11" s="61">
        <f>'01 Inputs'!$F$29</f>
        <v/>
      </c>
      <c r="D11" s="61">
        <f>'01 Inputs'!$E$29</f>
        <v/>
      </c>
      <c r="E11" s="61">
        <f>'01 Inputs'!$D$29</f>
        <v/>
      </c>
      <c r="I11" s="67" t="inlineStr">
        <is>
          <t>Downside uses column F, Upside uses column D</t>
        </is>
      </c>
    </row>
    <row r="12">
      <c r="B12" s="4" t="inlineStr">
        <is>
          <t>Blister per tablet (alu/alu sealed strip — required by A-005)</t>
        </is>
      </c>
      <c r="C12" s="61">
        <f>'01 Inputs'!$F$31</f>
        <v/>
      </c>
      <c r="D12" s="61">
        <f>'01 Inputs'!$E$31</f>
        <v/>
      </c>
      <c r="E12" s="61">
        <f>'01 Inputs'!$D$31</f>
        <v/>
      </c>
      <c r="I12" s="67" t="inlineStr">
        <is>
          <t>Downside uses column F, Upside uses column D</t>
        </is>
      </c>
    </row>
    <row r="13">
      <c r="B13" s="4" t="inlineStr">
        <is>
          <t>Refill carton and letterbox mailer, per order</t>
        </is>
      </c>
      <c r="C13" s="58">
        <f>'01 Inputs'!$F$32</f>
        <v/>
      </c>
      <c r="D13" s="58">
        <f>'01 Inputs'!$E$32</f>
        <v/>
      </c>
      <c r="E13" s="58">
        <f>'01 Inputs'!$D$32</f>
        <v/>
      </c>
      <c r="I13" s="67" t="inlineStr">
        <is>
          <t>Downside uses column F, Upside uses column D</t>
        </is>
      </c>
    </row>
    <row r="14">
      <c r="B14" s="4" t="inlineStr">
        <is>
          <t>Insert, leaflet and label, per order</t>
        </is>
      </c>
      <c r="C14" s="58">
        <f>'01 Inputs'!$F$33</f>
        <v/>
      </c>
      <c r="D14" s="58">
        <f>'01 Inputs'!$E$33</f>
        <v/>
      </c>
      <c r="E14" s="58">
        <f>'01 Inputs'!$D$33</f>
        <v/>
      </c>
      <c r="I14" s="67" t="inlineStr">
        <is>
          <t>Downside uses column F, Upside uses column D</t>
        </is>
      </c>
    </row>
    <row r="15">
      <c r="B15" s="4" t="inlineStr">
        <is>
          <t>CASE COST INCLUDING TOOLING AMORTISATION</t>
        </is>
      </c>
      <c r="C15" s="48">
        <f>'01 Inputs'!$F$37</f>
        <v/>
      </c>
      <c r="D15" s="48">
        <f>'01 Inputs'!$E$37</f>
        <v/>
      </c>
      <c r="E15" s="48">
        <f>'01 Inputs'!$D$37</f>
        <v/>
      </c>
      <c r="I15" s="67" t="inlineStr">
        <is>
          <t>Downside uses column F, Upside uses column D</t>
        </is>
      </c>
    </row>
    <row r="16">
      <c r="B16" s="4" t="inlineStr">
        <is>
          <t>Fulfilment: 3PL pick, pack and handling, per order</t>
        </is>
      </c>
      <c r="C16" s="48">
        <f>'01 Inputs'!$F$39</f>
        <v/>
      </c>
      <c r="D16" s="48">
        <f>'01 Inputs'!$E$39</f>
        <v/>
      </c>
      <c r="E16" s="48">
        <f>'01 Inputs'!$D$39</f>
        <v/>
      </c>
      <c r="I16" s="67" t="inlineStr">
        <is>
          <t>Downside uses column F, Upside uses column D</t>
        </is>
      </c>
    </row>
    <row r="17">
      <c r="B17" s="4" t="inlineStr">
        <is>
          <t>Blister carrier mass per tablet</t>
        </is>
      </c>
      <c r="C17" s="69">
        <f>'01 Inputs'!$F$40</f>
        <v/>
      </c>
      <c r="D17" s="69">
        <f>'01 Inputs'!$E$40</f>
        <v/>
      </c>
      <c r="E17" s="69">
        <f>'01 Inputs'!$D$40</f>
        <v/>
      </c>
      <c r="I17" s="67" t="inlineStr">
        <is>
          <t>Downside uses column F, Upside uses column D</t>
        </is>
      </c>
    </row>
    <row r="18">
      <c r="B18" s="4" t="inlineStr">
        <is>
          <t>Mailer, carton and insert tare mass</t>
        </is>
      </c>
      <c r="C18" s="69">
        <f>'01 Inputs'!$F$41</f>
        <v/>
      </c>
      <c r="D18" s="69">
        <f>'01 Inputs'!$E$41</f>
        <v/>
      </c>
      <c r="E18" s="69">
        <f>'01 Inputs'!$D$41</f>
        <v/>
      </c>
      <c r="I18" s="67" t="inlineStr">
        <is>
          <t>Downside uses column F, Upside uses column D</t>
        </is>
      </c>
    </row>
    <row r="19">
      <c r="B19" s="4" t="inlineStr">
        <is>
          <t>Aluminium case mass</t>
        </is>
      </c>
      <c r="C19" s="69">
        <f>'01 Inputs'!$F$42</f>
        <v/>
      </c>
      <c r="D19" s="69">
        <f>'01 Inputs'!$E$42</f>
        <v/>
      </c>
      <c r="E19" s="69">
        <f>'01 Inputs'!$D$42</f>
        <v/>
      </c>
      <c r="I19" s="67" t="inlineStr">
        <is>
          <t>Downside uses column F, Upside uses column D</t>
        </is>
      </c>
    </row>
    <row r="20">
      <c r="B20" s="4" t="inlineStr">
        <is>
          <t>Royal Mail 2nd Class Large Letter, 0-100 g</t>
        </is>
      </c>
      <c r="C20" s="48">
        <f>'01 Inputs'!$E$43</f>
        <v/>
      </c>
      <c r="D20" s="48">
        <f>'01 Inputs'!$E$43</f>
        <v/>
      </c>
      <c r="E20" s="48">
        <f>'01 Inputs'!$E$43</f>
        <v/>
      </c>
      <c r="I20" s="67" t="inlineStr">
        <is>
          <t>Downside uses column E, Upside uses column E</t>
        </is>
      </c>
    </row>
    <row r="21">
      <c r="B21" s="4" t="inlineStr">
        <is>
          <t>Royal Mail 2nd Class Large Letter, 101-250 g  &lt;&lt; THE BASE CASE BAND</t>
        </is>
      </c>
      <c r="C21" s="48">
        <f>'01 Inputs'!$E$44</f>
        <v/>
      </c>
      <c r="D21" s="48">
        <f>'01 Inputs'!$E$44</f>
        <v/>
      </c>
      <c r="E21" s="48">
        <f>'01 Inputs'!$E$44</f>
        <v/>
      </c>
      <c r="I21" s="67" t="inlineStr">
        <is>
          <t>Downside uses column E, Upside uses column E</t>
        </is>
      </c>
    </row>
    <row r="22">
      <c r="B22" s="4" t="inlineStr">
        <is>
          <t>Royal Mail 2nd Class Large Letter, 251-500 g</t>
        </is>
      </c>
      <c r="C22" s="48">
        <f>'01 Inputs'!$E$45</f>
        <v/>
      </c>
      <c r="D22" s="48">
        <f>'01 Inputs'!$E$45</f>
        <v/>
      </c>
      <c r="E22" s="48">
        <f>'01 Inputs'!$E$45</f>
        <v/>
      </c>
      <c r="I22" s="67" t="inlineStr">
        <is>
          <t>Downside uses column E, Upside uses column E</t>
        </is>
      </c>
    </row>
    <row r="23">
      <c r="B23" s="4" t="inlineStr">
        <is>
          <t>Royal Mail 2nd Class Large Letter, 501-750 g</t>
        </is>
      </c>
      <c r="C23" s="48">
        <f>'01 Inputs'!$E$46</f>
        <v/>
      </c>
      <c r="D23" s="48">
        <f>'01 Inputs'!$E$46</f>
        <v/>
      </c>
      <c r="E23" s="48">
        <f>'01 Inputs'!$E$46</f>
        <v/>
      </c>
      <c r="I23" s="67" t="inlineStr">
        <is>
          <t>Downside uses column E, Upside uses column E</t>
        </is>
      </c>
    </row>
    <row r="24">
      <c r="B24" s="4" t="inlineStr">
        <is>
          <t>Royal Mail 2nd Class Small Parcel — what a TUBE competitor must pay</t>
        </is>
      </c>
      <c r="C24" s="48">
        <f>'01 Inputs'!$E$47</f>
        <v/>
      </c>
      <c r="D24" s="48">
        <f>'01 Inputs'!$E$47</f>
        <v/>
      </c>
      <c r="E24" s="48">
        <f>'01 Inputs'!$E$47</f>
        <v/>
      </c>
      <c r="I24" s="67" t="inlineStr">
        <is>
          <t>Downside uses column E, Upside uses column E</t>
        </is>
      </c>
    </row>
    <row r="25">
      <c r="B25" s="4" t="inlineStr">
        <is>
          <t>Business / Mailmark discount multiplier on the stamp tariff</t>
        </is>
      </c>
      <c r="C25" s="65">
        <f>'01 Inputs'!$F$48</f>
        <v/>
      </c>
      <c r="D25" s="65">
        <f>'01 Inputs'!$E$48</f>
        <v/>
      </c>
      <c r="E25" s="65">
        <f>'01 Inputs'!$D$48</f>
        <v/>
      </c>
      <c r="I25" s="67" t="inlineStr">
        <is>
          <t>Downside uses column F, Upside uses column D</t>
        </is>
      </c>
    </row>
    <row r="26">
      <c r="B26" s="4" t="inlineStr">
        <is>
          <t>Payment processing rate</t>
        </is>
      </c>
      <c r="C26" s="62">
        <f>'01 Inputs'!$F$50</f>
        <v/>
      </c>
      <c r="D26" s="62">
        <f>'01 Inputs'!$E$50</f>
        <v/>
      </c>
      <c r="E26" s="62">
        <f>'01 Inputs'!$D$50</f>
        <v/>
      </c>
      <c r="I26" s="67" t="inlineStr">
        <is>
          <t>Downside uses column F, Upside uses column D</t>
        </is>
      </c>
    </row>
    <row r="27">
      <c r="B27" s="4" t="inlineStr">
        <is>
          <t>Payment fixed fee per transaction</t>
        </is>
      </c>
      <c r="C27" s="48">
        <f>'01 Inputs'!$F$51</f>
        <v/>
      </c>
      <c r="D27" s="48">
        <f>'01 Inputs'!$E$51</f>
        <v/>
      </c>
      <c r="E27" s="48">
        <f>'01 Inputs'!$D$51</f>
        <v/>
      </c>
      <c r="I27" s="67" t="inlineStr">
        <is>
          <t>Downside uses column F, Upside uses column D</t>
        </is>
      </c>
    </row>
    <row r="28">
      <c r="B28" s="4" t="inlineStr">
        <is>
          <t>Age verification at the D2C checkout — AVOIDED by going caffeine-free</t>
        </is>
      </c>
      <c r="C28" s="58">
        <f>'01 Inputs'!$E$53</f>
        <v/>
      </c>
      <c r="D28" s="58">
        <f>'01 Inputs'!$E$53</f>
        <v/>
      </c>
      <c r="E28" s="58">
        <f>'01 Inputs'!$E$53</f>
        <v/>
      </c>
      <c r="I28" s="67" t="inlineStr">
        <is>
          <t>Downside uses column E, Upside uses column E</t>
        </is>
      </c>
    </row>
    <row r="29">
      <c r="B29" s="4" t="inlineStr">
        <is>
          <t>Breakage / damage in transit — orders replaced</t>
        </is>
      </c>
      <c r="C29" s="62">
        <f>'01 Inputs'!$F$52</f>
        <v/>
      </c>
      <c r="D29" s="62">
        <f>'01 Inputs'!$E$52</f>
        <v/>
      </c>
      <c r="E29" s="62">
        <f>'01 Inputs'!$D$52</f>
        <v/>
      </c>
      <c r="I29" s="67" t="inlineStr">
        <is>
          <t>Downside uses column F, Upside uses column D</t>
        </is>
      </c>
    </row>
    <row r="30">
      <c r="B30" s="4" t="inlineStr">
        <is>
          <t>Returns, refunds and goodwill credits</t>
        </is>
      </c>
      <c r="C30" s="62">
        <f>'01 Inputs'!$F$54</f>
        <v/>
      </c>
      <c r="D30" s="62">
        <f>'01 Inputs'!$E$54</f>
        <v/>
      </c>
      <c r="E30" s="62">
        <f>'01 Inputs'!$D$54</f>
        <v/>
      </c>
      <c r="I30" s="67" t="inlineStr">
        <is>
          <t>Downside uses column F, Upside uses column D</t>
        </is>
      </c>
    </row>
    <row r="31">
      <c r="B31" s="4" t="inlineStr">
        <is>
          <t>UK pharmacy / grocery retailer margin, % of sell price</t>
        </is>
      </c>
      <c r="C31" s="71">
        <f>'01 Inputs'!$E$56</f>
        <v/>
      </c>
      <c r="D31" s="71">
        <f>'01 Inputs'!$E$56</f>
        <v/>
      </c>
      <c r="E31" s="71">
        <f>'01 Inputs'!$E$56</f>
        <v/>
      </c>
      <c r="I31" s="67" t="inlineStr">
        <is>
          <t>Downside uses column E, Upside uses column E</t>
        </is>
      </c>
    </row>
    <row r="32">
      <c r="B32" s="4" t="inlineStr">
        <is>
          <t>Distributor / wholesaler margin, % of trade price</t>
        </is>
      </c>
      <c r="C32" s="71">
        <f>'01 Inputs'!$E$57</f>
        <v/>
      </c>
      <c r="D32" s="71">
        <f>'01 Inputs'!$E$57</f>
        <v/>
      </c>
      <c r="E32" s="71">
        <f>'01 Inputs'!$E$57</f>
        <v/>
      </c>
      <c r="I32" s="67" t="inlineStr">
        <is>
          <t>Downside uses column E, Upside uses column E</t>
        </is>
      </c>
    </row>
    <row r="33">
      <c r="B33" s="4" t="inlineStr">
        <is>
          <t>BLENDED CAC</t>
        </is>
      </c>
      <c r="C33" s="48">
        <f>'01 Inputs'!$F$67</f>
        <v/>
      </c>
      <c r="D33" s="48">
        <f>'01 Inputs'!$E$67</f>
        <v/>
      </c>
      <c r="E33" s="48">
        <f>'01 Inputs'!$D$67</f>
        <v/>
      </c>
      <c r="I33" s="67" t="inlineStr">
        <is>
          <t>Downside uses column F, Upside uses column D</t>
        </is>
      </c>
    </row>
    <row r="34">
      <c r="B34" s="4" t="inlineStr">
        <is>
          <t>TOTAL MONTHLY CHURN</t>
        </is>
      </c>
      <c r="C34" s="62">
        <f>'01 Inputs'!$F$72</f>
        <v/>
      </c>
      <c r="D34" s="62">
        <f>'01 Inputs'!$E$72</f>
        <v/>
      </c>
      <c r="E34" s="62">
        <f>'01 Inputs'!$D$72</f>
        <v/>
      </c>
      <c r="I34" s="67" t="inlineStr">
        <is>
          <t>Downside uses column F, Upside uses column D</t>
        </is>
      </c>
    </row>
    <row r="35">
      <c r="B35" s="4" t="inlineStr">
        <is>
          <t>Extra drop-off before the FIRST refill</t>
        </is>
      </c>
      <c r="C35" s="62">
        <f>'01 Inputs'!$F$70</f>
        <v/>
      </c>
      <c r="D35" s="62">
        <f>'01 Inputs'!$E$70</f>
        <v/>
      </c>
      <c r="E35" s="62">
        <f>'01 Inputs'!$D$70</f>
        <v/>
      </c>
      <c r="I35" s="67" t="inlineStr">
        <is>
          <t>Downside uses column F, Upside uses column D</t>
        </is>
      </c>
    </row>
    <row r="36">
      <c r="B36" s="4" t="inlineStr">
        <is>
          <t>Starter kit including case — list RRP inc VAT</t>
        </is>
      </c>
      <c r="C36" s="48">
        <f>'01 Inputs'!$E$74</f>
        <v/>
      </c>
      <c r="D36" s="48">
        <f>'01 Inputs'!$E$74</f>
        <v/>
      </c>
      <c r="E36" s="48">
        <f>'01 Inputs'!$E$74</f>
        <v/>
      </c>
      <c r="I36" s="67" t="inlineStr">
        <is>
          <t>Downside uses column E, Upside uses column E</t>
        </is>
      </c>
    </row>
    <row r="37">
      <c r="B37" s="4" t="inlineStr">
        <is>
          <t>Starter kit WITHOUT case — list RRP inc VAT</t>
        </is>
      </c>
      <c r="C37" s="48">
        <f>'01 Inputs'!$E$75</f>
        <v/>
      </c>
      <c r="D37" s="48">
        <f>'01 Inputs'!$E$75</f>
        <v/>
      </c>
      <c r="E37" s="48">
        <f>'01 Inputs'!$E$75</f>
        <v/>
      </c>
      <c r="I37" s="67" t="inlineStr">
        <is>
          <t>Downside uses column E, Upside uses column E</t>
        </is>
      </c>
    </row>
    <row r="38">
      <c r="B38" s="4" t="inlineStr">
        <is>
          <t>Monthly subscription refill (30 tablets) — list RRP inc VAT</t>
        </is>
      </c>
      <c r="C38" s="48">
        <f>'01 Inputs'!$E$76</f>
        <v/>
      </c>
      <c r="D38" s="48">
        <f>'01 Inputs'!$E$76</f>
        <v/>
      </c>
      <c r="E38" s="48">
        <f>'01 Inputs'!$E$76</f>
        <v/>
      </c>
      <c r="I38" s="67" t="inlineStr">
        <is>
          <t>Downside uses column E, Upside uses column E</t>
        </is>
      </c>
    </row>
    <row r="39">
      <c r="B39" s="4" t="inlineStr">
        <is>
          <t>One-off refill (30 tablets), non-subscriber — list RRP inc VAT</t>
        </is>
      </c>
      <c r="C39" s="48">
        <f>'01 Inputs'!$E$77</f>
        <v/>
      </c>
      <c r="D39" s="48">
        <f>'01 Inputs'!$E$77</f>
        <v/>
      </c>
      <c r="E39" s="48">
        <f>'01 Inputs'!$E$77</f>
        <v/>
      </c>
      <c r="I39" s="67" t="inlineStr">
        <is>
          <t>Downside uses column E, Upside uses column E</t>
        </is>
      </c>
    </row>
    <row r="40">
      <c r="B40" s="4" t="inlineStr">
        <is>
          <t>Quarterly prepay (90 tablets) — list RRP inc VAT</t>
        </is>
      </c>
      <c r="C40" s="48">
        <f>'01 Inputs'!$E$78</f>
        <v/>
      </c>
      <c r="D40" s="48">
        <f>'01 Inputs'!$E$78</f>
        <v/>
      </c>
      <c r="E40" s="48">
        <f>'01 Inputs'!$E$78</f>
        <v/>
      </c>
      <c r="I40" s="67" t="inlineStr">
        <is>
          <t>Downside uses column E, Upside uses column E</t>
        </is>
      </c>
    </row>
    <row r="41">
      <c r="B41" s="4" t="inlineStr">
        <is>
          <t>Retail tube (15 tablets) — RRP inc VAT. OUT OF SCOPE, reference only</t>
        </is>
      </c>
      <c r="C41" s="48">
        <f>'01 Inputs'!$E$79</f>
        <v/>
      </c>
      <c r="D41" s="48">
        <f>'01 Inputs'!$E$79</f>
        <v/>
      </c>
      <c r="E41" s="48">
        <f>'01 Inputs'!$E$79</f>
        <v/>
      </c>
      <c r="I41" s="67" t="inlineStr">
        <is>
          <t>Downside uses column E, Upside uses column E</t>
        </is>
      </c>
    </row>
    <row r="42">
      <c r="B42" s="4" t="inlineStr">
        <is>
          <t>Retail tube servings per pack</t>
        </is>
      </c>
      <c r="C42" s="3">
        <f>'01 Inputs'!$E$80</f>
        <v/>
      </c>
      <c r="D42" s="3">
        <f>'01 Inputs'!$E$80</f>
        <v/>
      </c>
      <c r="E42" s="3">
        <f>'01 Inputs'!$E$80</f>
        <v/>
      </c>
      <c r="I42" s="67" t="inlineStr">
        <is>
          <t>Downside uses column E, Upside uses column E</t>
        </is>
      </c>
    </row>
    <row r="43">
      <c r="B43" s="4" t="inlineStr">
        <is>
          <t>Realised revenue factor (promotions, intro discounts, mix)</t>
        </is>
      </c>
      <c r="C43" s="65">
        <f>'01 Inputs'!$D$90</f>
        <v/>
      </c>
      <c r="D43" s="65">
        <f>'01 Inputs'!$E$90</f>
        <v/>
      </c>
      <c r="E43" s="65">
        <f>'01 Inputs'!$F$90</f>
        <v/>
      </c>
      <c r="I43" s="67" t="inlineStr">
        <is>
          <t>Downside uses column D, Upside uses column F</t>
        </is>
      </c>
    </row>
    <row r="44" ht="28" customHeight="1">
      <c r="B44" s="2" t="inlineStr">
        <is>
          <t>Note: prices and Royal Mail tariffs do not move between scenarios — they are decisions and published tariffs, not uncertainties. What moves is COGS, CAC, churn, usage, realised revenue and the operating cost stack.</t>
        </is>
      </c>
    </row>
    <row r="46">
      <c r="B46" s="59" t="inlineStr">
        <is>
          <t>SCENARIO ECONOMICS — subscription refill (30 tablets)</t>
        </is>
      </c>
    </row>
    <row r="47" ht="32" customHeight="1">
      <c r="A47" s="34" t="inlineStr"/>
      <c r="B47" s="34" t="inlineStr">
        <is>
          <t>Line</t>
        </is>
      </c>
      <c r="C47" s="34" t="inlineStr">
        <is>
          <t>DOWNSIDE</t>
        </is>
      </c>
      <c r="D47" s="34" t="inlineStr">
        <is>
          <t>BASE</t>
        </is>
      </c>
      <c r="E47" s="34" t="inlineStr">
        <is>
          <t>UPSIDE</t>
        </is>
      </c>
      <c r="F47" s="34" t="inlineStr"/>
      <c r="G47" s="34" t="inlineStr"/>
      <c r="H47" s="34" t="inlineStr"/>
      <c r="I47" s="34" t="inlineStr"/>
    </row>
    <row r="48">
      <c r="B48" s="4" t="inlineStr">
        <is>
          <t>Pack size (servings)</t>
        </is>
      </c>
      <c r="C48" s="40">
        <f>$C$8</f>
        <v/>
      </c>
      <c r="D48" s="40">
        <f>$D$8</f>
        <v/>
      </c>
      <c r="E48" s="40">
        <f>$E$8</f>
        <v/>
      </c>
    </row>
    <row r="49">
      <c r="B49" s="4" t="inlineStr">
        <is>
          <t>List RRP inc VAT</t>
        </is>
      </c>
      <c r="C49" s="44">
        <f>$C$38</f>
        <v/>
      </c>
      <c r="D49" s="44">
        <f>$D$38</f>
        <v/>
      </c>
      <c r="E49" s="44">
        <f>$E$38</f>
        <v/>
      </c>
    </row>
    <row r="50">
      <c r="B50" s="4" t="inlineStr">
        <is>
          <t>Realised revenue factor</t>
        </is>
      </c>
      <c r="C50" s="41">
        <f>$C$43</f>
        <v/>
      </c>
      <c r="D50" s="41">
        <f>$D$43</f>
        <v/>
      </c>
      <c r="E50" s="41">
        <f>$E$43</f>
        <v/>
      </c>
    </row>
    <row r="51">
      <c r="B51" s="4" t="inlineStr">
        <is>
          <t>Realised price billed inc VAT</t>
        </is>
      </c>
      <c r="C51" s="44">
        <f>C49*C50</f>
        <v/>
      </c>
      <c r="D51" s="44">
        <f>D49*D50</f>
        <v/>
      </c>
      <c r="E51" s="44">
        <f>E49*E50</f>
        <v/>
      </c>
    </row>
    <row r="52">
      <c r="B52" s="4" t="inlineStr">
        <is>
          <t xml:space="preserve">  less VAT at 20%</t>
        </is>
      </c>
      <c r="C52" s="44">
        <f>C51*$C$6/(1+$C$6)</f>
        <v/>
      </c>
      <c r="D52" s="44">
        <f>D51*$D$6/(1+$D$6)</f>
        <v/>
      </c>
      <c r="E52" s="44">
        <f>E51*$E$6/(1+$E$6)</f>
        <v/>
      </c>
    </row>
    <row r="53">
      <c r="B53" s="4" t="inlineStr">
        <is>
          <t>NET PRICE (ex VAT)</t>
        </is>
      </c>
      <c r="C53" s="44">
        <f>C51/(1+$C$6)</f>
        <v/>
      </c>
      <c r="D53" s="44">
        <f>D51/(1+$D$6)</f>
        <v/>
      </c>
      <c r="E53" s="44">
        <f>E51/(1+$E$6)</f>
        <v/>
      </c>
    </row>
    <row r="54">
      <c r="B54" s="4" t="inlineStr">
        <is>
          <t xml:space="preserve">  less retailer margin</t>
        </is>
      </c>
      <c r="C54" s="44">
        <f>C53*0</f>
        <v/>
      </c>
      <c r="D54" s="44">
        <f>D53*0</f>
        <v/>
      </c>
      <c r="E54" s="44">
        <f>E53*0</f>
        <v/>
      </c>
    </row>
    <row r="55">
      <c r="B55" s="4" t="inlineStr">
        <is>
          <t xml:space="preserve">  less distributor margin</t>
        </is>
      </c>
      <c r="C55" s="44">
        <f>(C53-C54)*0</f>
        <v/>
      </c>
      <c r="D55" s="44">
        <f>(D53-D54)*0</f>
        <v/>
      </c>
      <c r="E55" s="44">
        <f>(E53-E54)*0</f>
        <v/>
      </c>
    </row>
    <row r="56">
      <c r="B56" s="47" t="inlineStr">
        <is>
          <t>NET REVENUE REALISED BY V-DROP</t>
        </is>
      </c>
      <c r="C56" s="48">
        <f>C53-C54-C55</f>
        <v/>
      </c>
      <c r="D56" s="48">
        <f>D53-D54-D55</f>
        <v/>
      </c>
      <c r="E56" s="48">
        <f>E53-E54-E55</f>
        <v/>
      </c>
    </row>
    <row r="57">
      <c r="B57" s="4" t="inlineStr">
        <is>
          <t>COGS — tablets</t>
        </is>
      </c>
      <c r="C57" s="44">
        <f>C48*$C$11</f>
        <v/>
      </c>
      <c r="D57" s="44">
        <f>D48*$D$11</f>
        <v/>
      </c>
      <c r="E57" s="44">
        <f>E48*$E$11</f>
        <v/>
      </c>
    </row>
    <row r="58">
      <c r="B58" s="4" t="inlineStr">
        <is>
          <t>COGS — blisters</t>
        </is>
      </c>
      <c r="C58" s="44">
        <f>C48*$C$12</f>
        <v/>
      </c>
      <c r="D58" s="44">
        <f>D48*$D$12</f>
        <v/>
      </c>
      <c r="E58" s="44">
        <f>E48*$E$12</f>
        <v/>
      </c>
    </row>
    <row r="59">
      <c r="B59" s="4" t="inlineStr">
        <is>
          <t>COGS — carton and mailer</t>
        </is>
      </c>
      <c r="C59" s="44">
        <f>$C$13</f>
        <v/>
      </c>
      <c r="D59" s="44">
        <f>$D$13</f>
        <v/>
      </c>
      <c r="E59" s="44">
        <f>$E$13</f>
        <v/>
      </c>
    </row>
    <row r="60">
      <c r="B60" s="4" t="inlineStr">
        <is>
          <t>COGS — insert and label</t>
        </is>
      </c>
      <c r="C60" s="44">
        <f>$C$14</f>
        <v/>
      </c>
      <c r="D60" s="44">
        <f>$D$14</f>
        <v/>
      </c>
      <c r="E60" s="44">
        <f>$E$14</f>
        <v/>
      </c>
    </row>
    <row r="61">
      <c r="B61" s="4" t="inlineStr">
        <is>
          <t>COGS — aluminium case (incl. tooling amortisation)</t>
        </is>
      </c>
      <c r="C61" s="44">
        <f>0*$C$15</f>
        <v/>
      </c>
      <c r="D61" s="44">
        <f>0*$D$15</f>
        <v/>
      </c>
      <c r="E61" s="44">
        <f>0*$E$15</f>
        <v/>
      </c>
    </row>
    <row r="62">
      <c r="B62" s="47" t="inlineStr">
        <is>
          <t>TOTAL COGS</t>
        </is>
      </c>
      <c r="C62" s="48">
        <f>SUM(C57:C61)</f>
        <v/>
      </c>
      <c r="D62" s="48">
        <f>SUM(D57:D61)</f>
        <v/>
      </c>
      <c r="E62" s="48">
        <f>SUM(E57:E61)</f>
        <v/>
      </c>
    </row>
    <row r="63">
      <c r="B63" s="47" t="inlineStr">
        <is>
          <t>GROSS MARGIN  £</t>
        </is>
      </c>
      <c r="C63" s="49">
        <f>C56-C62</f>
        <v/>
      </c>
      <c r="D63" s="49">
        <f>D56-D62</f>
        <v/>
      </c>
      <c r="E63" s="49">
        <f>E56-E62</f>
        <v/>
      </c>
    </row>
    <row r="64">
      <c r="B64" s="4" t="inlineStr">
        <is>
          <t>GROSS MARGIN  % of net revenue</t>
        </is>
      </c>
      <c r="C64" s="51">
        <f>IF(C56=0,"",C63/C56)</f>
        <v/>
      </c>
      <c r="D64" s="51">
        <f>IF(D56=0,"",D63/D56)</f>
        <v/>
      </c>
      <c r="E64" s="51">
        <f>IF(E56=0,"",E63/E56)</f>
        <v/>
      </c>
    </row>
    <row r="65">
      <c r="B65" s="4" t="inlineStr">
        <is>
          <t>Shipped weight (g)</t>
        </is>
      </c>
      <c r="C65" s="53">
        <f>C48*$C$7+C48*$C$17+$C$18+0*$C$19</f>
        <v/>
      </c>
      <c r="D65" s="53">
        <f>D48*$D$7+D48*$D$17+$D$18+0*$D$19</f>
        <v/>
      </c>
      <c r="E65" s="53">
        <f>E48*$E$7+E48*$E$17+$E$18+0*$E$19</f>
        <v/>
      </c>
    </row>
    <row r="66">
      <c r="B66" s="4" t="inlineStr">
        <is>
          <t>Fulfilment (3PL pick and pack)</t>
        </is>
      </c>
      <c r="C66" s="44">
        <f>$C$16</f>
        <v/>
      </c>
      <c r="D66" s="44">
        <f>$D$16</f>
        <v/>
      </c>
      <c r="E66" s="44">
        <f>$E$16</f>
        <v/>
      </c>
    </row>
    <row r="67">
      <c r="B67" s="4" t="inlineStr">
        <is>
          <t>Postage (Royal Mail band, after business discount)</t>
        </is>
      </c>
      <c r="C67" s="44">
        <f>IF(C65&lt;=100,$C$20,IF(C65&lt;=250,$C$21,IF(C65&lt;=500,$C$22,IF(C65&lt;=750,$C$23,$C$24))))*$C$25</f>
        <v/>
      </c>
      <c r="D67" s="44">
        <f>IF(D65&lt;=100,$D$20,IF(D65&lt;=250,$D$21,IF(D65&lt;=500,$D$22,IF(D65&lt;=750,$D$23,$D$24))))*$D$25</f>
        <v/>
      </c>
      <c r="E67" s="44">
        <f>IF(E65&lt;=100,$E$20,IF(E65&lt;=250,$E$21,IF(E65&lt;=500,$E$22,IF(E65&lt;=750,$E$23,$E$24))))*$E$25</f>
        <v/>
      </c>
    </row>
    <row r="68">
      <c r="B68" s="4" t="inlineStr">
        <is>
          <t>Payment fees (on the VAT-inclusive billed amount)</t>
        </is>
      </c>
      <c r="C68" s="44">
        <f>C51*$C$26+$C$27</f>
        <v/>
      </c>
      <c r="D68" s="44">
        <f>D51*$D$26+$D$27</f>
        <v/>
      </c>
      <c r="E68" s="44">
        <f>E51*$E$26+$E$27</f>
        <v/>
      </c>
    </row>
    <row r="69">
      <c r="B69" s="4" t="inlineStr">
        <is>
          <t>Age verification at checkout (nil — caffeine-free)</t>
        </is>
      </c>
      <c r="C69" s="39">
        <f>$C$28</f>
        <v/>
      </c>
      <c r="D69" s="39">
        <f>$D$28</f>
        <v/>
      </c>
      <c r="E69" s="39">
        <f>$E$28</f>
        <v/>
      </c>
    </row>
    <row r="70">
      <c r="B70" s="4" t="inlineStr">
        <is>
          <t>Breakage / damage replacement</t>
        </is>
      </c>
      <c r="C70" s="44">
        <f>$C$29*(C62+C66+C67)</f>
        <v/>
      </c>
      <c r="D70" s="44">
        <f>$D$29*(D62+D66+D67)</f>
        <v/>
      </c>
      <c r="E70" s="44">
        <f>$E$29*(E62+E66+E67)</f>
        <v/>
      </c>
    </row>
    <row r="71">
      <c r="B71" s="4" t="inlineStr">
        <is>
          <t>Returns and refunds</t>
        </is>
      </c>
      <c r="C71" s="44">
        <f>$C$30*(C56+C62+C67)</f>
        <v/>
      </c>
      <c r="D71" s="44">
        <f>$D$30*(D56+D62+D67)</f>
        <v/>
      </c>
      <c r="E71" s="44">
        <f>$E$30*(E56+E62+E67)</f>
        <v/>
      </c>
    </row>
    <row r="72">
      <c r="B72" s="47" t="inlineStr">
        <is>
          <t>TOTAL VARIABLE COSTS</t>
        </is>
      </c>
      <c r="C72" s="48">
        <f>SUM(C66:C71)</f>
        <v/>
      </c>
      <c r="D72" s="48">
        <f>SUM(D66:D71)</f>
        <v/>
      </c>
      <c r="E72" s="48">
        <f>SUM(E66:E71)</f>
        <v/>
      </c>
    </row>
    <row r="73">
      <c r="B73" s="47" t="inlineStr">
        <is>
          <t>CONTRIBUTION  £</t>
        </is>
      </c>
      <c r="C73" s="49">
        <f>C63-C72</f>
        <v/>
      </c>
      <c r="D73" s="49">
        <f>D63-D72</f>
        <v/>
      </c>
      <c r="E73" s="49">
        <f>E63-E72</f>
        <v/>
      </c>
    </row>
    <row r="74">
      <c r="B74" s="4" t="inlineStr">
        <is>
          <t>CONTRIBUTION MARGIN  % of net revenue</t>
        </is>
      </c>
      <c r="C74" s="51">
        <f>IF(C56=0,"",C73/C56)</f>
        <v/>
      </c>
      <c r="D74" s="51">
        <f>IF(D56=0,"",D73/D56)</f>
        <v/>
      </c>
      <c r="E74" s="51">
        <f>IF(E56=0,"",E73/E56)</f>
        <v/>
      </c>
    </row>
    <row r="75">
      <c r="B75" s="47" t="inlineStr">
        <is>
          <t>CONTRIBUTION PER SERVING  £</t>
        </is>
      </c>
      <c r="C75" s="56">
        <f>C73/C48</f>
        <v/>
      </c>
      <c r="D75" s="56">
        <f>D73/D48</f>
        <v/>
      </c>
      <c r="E75" s="56">
        <f>E73/E48</f>
        <v/>
      </c>
    </row>
    <row r="76">
      <c r="B76" s="4" t="inlineStr">
        <is>
          <t>List price per serving, inc VAT</t>
        </is>
      </c>
      <c r="C76" s="39">
        <f>C49/C48</f>
        <v/>
      </c>
      <c r="D76" s="39">
        <f>D49/D48</f>
        <v/>
      </c>
      <c r="E76" s="39">
        <f>E49/E48</f>
        <v/>
      </c>
    </row>
    <row r="77">
      <c r="B77" s="4" t="inlineStr">
        <is>
          <t>List price per serving, NET</t>
        </is>
      </c>
      <c r="C77" s="39">
        <f>C76/(1+$C$6)</f>
        <v/>
      </c>
      <c r="D77" s="39">
        <f>D76/(1+$D$6)</f>
        <v/>
      </c>
      <c r="E77" s="39">
        <f>E76/(1+$E$6)</f>
        <v/>
      </c>
    </row>
    <row r="78">
      <c r="B78" s="4" t="inlineStr">
        <is>
          <t>Memo: parcel postage a TUBE competitor must pay</t>
        </is>
      </c>
      <c r="C78" s="44">
        <f>$C$24*$C$25</f>
        <v/>
      </c>
      <c r="D78" s="44">
        <f>$D$24*$D$25</f>
        <v/>
      </c>
      <c r="E78" s="44">
        <f>$E$24*$E$25</f>
        <v/>
      </c>
    </row>
    <row r="79">
      <c r="B79" s="4" t="inlineStr">
        <is>
          <t>Memo: LETTERBOX ADVANTAGE per order (A-006)</t>
        </is>
      </c>
      <c r="C79" s="48">
        <f>C78-C67</f>
        <v/>
      </c>
      <c r="D79" s="48">
        <f>D78-D67</f>
        <v/>
      </c>
      <c r="E79" s="48">
        <f>E78-E67</f>
        <v/>
      </c>
    </row>
    <row r="81">
      <c r="B81" s="59" t="inlineStr">
        <is>
          <t>SCENARIO ECONOMICS — starter kit WITH case</t>
        </is>
      </c>
    </row>
    <row r="82" ht="32" customHeight="1">
      <c r="A82" s="34" t="inlineStr"/>
      <c r="B82" s="34" t="inlineStr">
        <is>
          <t>Line</t>
        </is>
      </c>
      <c r="C82" s="34" t="inlineStr">
        <is>
          <t>DOWNSIDE</t>
        </is>
      </c>
      <c r="D82" s="34" t="inlineStr">
        <is>
          <t>BASE</t>
        </is>
      </c>
      <c r="E82" s="34" t="inlineStr">
        <is>
          <t>UPSIDE</t>
        </is>
      </c>
      <c r="F82" s="34" t="inlineStr"/>
      <c r="G82" s="34" t="inlineStr"/>
      <c r="H82" s="34" t="inlineStr"/>
      <c r="I82" s="34" t="inlineStr"/>
    </row>
    <row r="83">
      <c r="B83" s="4" t="inlineStr">
        <is>
          <t>Pack size (servings)</t>
        </is>
      </c>
      <c r="C83" s="40">
        <f>$C$8</f>
        <v/>
      </c>
      <c r="D83" s="40">
        <f>$D$8</f>
        <v/>
      </c>
      <c r="E83" s="40">
        <f>$E$8</f>
        <v/>
      </c>
    </row>
    <row r="84">
      <c r="B84" s="4" t="inlineStr">
        <is>
          <t>List RRP inc VAT</t>
        </is>
      </c>
      <c r="C84" s="44">
        <f>$C$36</f>
        <v/>
      </c>
      <c r="D84" s="44">
        <f>$D$36</f>
        <v/>
      </c>
      <c r="E84" s="44">
        <f>$E$36</f>
        <v/>
      </c>
    </row>
    <row r="85">
      <c r="B85" s="4" t="inlineStr">
        <is>
          <t>Realised revenue factor</t>
        </is>
      </c>
      <c r="C85" s="41">
        <f>$C$43</f>
        <v/>
      </c>
      <c r="D85" s="41">
        <f>$D$43</f>
        <v/>
      </c>
      <c r="E85" s="41">
        <f>$E$43</f>
        <v/>
      </c>
    </row>
    <row r="86">
      <c r="B86" s="4" t="inlineStr">
        <is>
          <t>Realised price billed inc VAT</t>
        </is>
      </c>
      <c r="C86" s="44">
        <f>C84*C85</f>
        <v/>
      </c>
      <c r="D86" s="44">
        <f>D84*D85</f>
        <v/>
      </c>
      <c r="E86" s="44">
        <f>E84*E85</f>
        <v/>
      </c>
    </row>
    <row r="87">
      <c r="B87" s="4" t="inlineStr">
        <is>
          <t xml:space="preserve">  less VAT at 20%</t>
        </is>
      </c>
      <c r="C87" s="44">
        <f>C86*$C$6/(1+$C$6)</f>
        <v/>
      </c>
      <c r="D87" s="44">
        <f>D86*$D$6/(1+$D$6)</f>
        <v/>
      </c>
      <c r="E87" s="44">
        <f>E86*$E$6/(1+$E$6)</f>
        <v/>
      </c>
    </row>
    <row r="88">
      <c r="B88" s="4" t="inlineStr">
        <is>
          <t>NET PRICE (ex VAT)</t>
        </is>
      </c>
      <c r="C88" s="44">
        <f>C86/(1+$C$6)</f>
        <v/>
      </c>
      <c r="D88" s="44">
        <f>D86/(1+$D$6)</f>
        <v/>
      </c>
      <c r="E88" s="44">
        <f>E86/(1+$E$6)</f>
        <v/>
      </c>
    </row>
    <row r="89">
      <c r="B89" s="4" t="inlineStr">
        <is>
          <t xml:space="preserve">  less retailer margin</t>
        </is>
      </c>
      <c r="C89" s="44">
        <f>C88*0</f>
        <v/>
      </c>
      <c r="D89" s="44">
        <f>D88*0</f>
        <v/>
      </c>
      <c r="E89" s="44">
        <f>E88*0</f>
        <v/>
      </c>
    </row>
    <row r="90">
      <c r="B90" s="4" t="inlineStr">
        <is>
          <t xml:space="preserve">  less distributor margin</t>
        </is>
      </c>
      <c r="C90" s="44">
        <f>(C88-C89)*0</f>
        <v/>
      </c>
      <c r="D90" s="44">
        <f>(D88-D89)*0</f>
        <v/>
      </c>
      <c r="E90" s="44">
        <f>(E88-E89)*0</f>
        <v/>
      </c>
    </row>
    <row r="91">
      <c r="B91" s="47" t="inlineStr">
        <is>
          <t>NET REVENUE REALISED BY V-DROP</t>
        </is>
      </c>
      <c r="C91" s="48">
        <f>C88-C89-C90</f>
        <v/>
      </c>
      <c r="D91" s="48">
        <f>D88-D89-D90</f>
        <v/>
      </c>
      <c r="E91" s="48">
        <f>E88-E89-E90</f>
        <v/>
      </c>
    </row>
    <row r="92">
      <c r="B92" s="4" t="inlineStr">
        <is>
          <t>COGS — tablets</t>
        </is>
      </c>
      <c r="C92" s="44">
        <f>C83*$C$11</f>
        <v/>
      </c>
      <c r="D92" s="44">
        <f>D83*$D$11</f>
        <v/>
      </c>
      <c r="E92" s="44">
        <f>E83*$E$11</f>
        <v/>
      </c>
    </row>
    <row r="93">
      <c r="B93" s="4" t="inlineStr">
        <is>
          <t>COGS — blisters</t>
        </is>
      </c>
      <c r="C93" s="44">
        <f>C83*$C$12</f>
        <v/>
      </c>
      <c r="D93" s="44">
        <f>D83*$D$12</f>
        <v/>
      </c>
      <c r="E93" s="44">
        <f>E83*$E$12</f>
        <v/>
      </c>
    </row>
    <row r="94">
      <c r="B94" s="4" t="inlineStr">
        <is>
          <t>COGS — carton and mailer</t>
        </is>
      </c>
      <c r="C94" s="44">
        <f>$C$13</f>
        <v/>
      </c>
      <c r="D94" s="44">
        <f>$D$13</f>
        <v/>
      </c>
      <c r="E94" s="44">
        <f>$E$13</f>
        <v/>
      </c>
    </row>
    <row r="95">
      <c r="B95" s="4" t="inlineStr">
        <is>
          <t>COGS — insert and label</t>
        </is>
      </c>
      <c r="C95" s="44">
        <f>$C$14</f>
        <v/>
      </c>
      <c r="D95" s="44">
        <f>$D$14</f>
        <v/>
      </c>
      <c r="E95" s="44">
        <f>$E$14</f>
        <v/>
      </c>
    </row>
    <row r="96">
      <c r="B96" s="4" t="inlineStr">
        <is>
          <t>COGS — aluminium case (incl. tooling amortisation)</t>
        </is>
      </c>
      <c r="C96" s="44">
        <f>1*$C$15</f>
        <v/>
      </c>
      <c r="D96" s="44">
        <f>1*$D$15</f>
        <v/>
      </c>
      <c r="E96" s="44">
        <f>1*$E$15</f>
        <v/>
      </c>
    </row>
    <row r="97">
      <c r="B97" s="47" t="inlineStr">
        <is>
          <t>TOTAL COGS</t>
        </is>
      </c>
      <c r="C97" s="48">
        <f>SUM(C92:C96)</f>
        <v/>
      </c>
      <c r="D97" s="48">
        <f>SUM(D92:D96)</f>
        <v/>
      </c>
      <c r="E97" s="48">
        <f>SUM(E92:E96)</f>
        <v/>
      </c>
    </row>
    <row r="98">
      <c r="B98" s="47" t="inlineStr">
        <is>
          <t>GROSS MARGIN  £</t>
        </is>
      </c>
      <c r="C98" s="49">
        <f>C91-C97</f>
        <v/>
      </c>
      <c r="D98" s="49">
        <f>D91-D97</f>
        <v/>
      </c>
      <c r="E98" s="49">
        <f>E91-E97</f>
        <v/>
      </c>
    </row>
    <row r="99">
      <c r="B99" s="4" t="inlineStr">
        <is>
          <t>GROSS MARGIN  % of net revenue</t>
        </is>
      </c>
      <c r="C99" s="51">
        <f>IF(C91=0,"",C98/C91)</f>
        <v/>
      </c>
      <c r="D99" s="51">
        <f>IF(D91=0,"",D98/D91)</f>
        <v/>
      </c>
      <c r="E99" s="51">
        <f>IF(E91=0,"",E98/E91)</f>
        <v/>
      </c>
    </row>
    <row r="100">
      <c r="B100" s="4" t="inlineStr">
        <is>
          <t>Shipped weight (g)</t>
        </is>
      </c>
      <c r="C100" s="53">
        <f>C83*$C$7+C83*$C$17+$C$18+1*$C$19</f>
        <v/>
      </c>
      <c r="D100" s="53">
        <f>D83*$D$7+D83*$D$17+$D$18+1*$D$19</f>
        <v/>
      </c>
      <c r="E100" s="53">
        <f>E83*$E$7+E83*$E$17+$E$18+1*$E$19</f>
        <v/>
      </c>
    </row>
    <row r="101">
      <c r="B101" s="4" t="inlineStr">
        <is>
          <t>Fulfilment (3PL pick and pack)</t>
        </is>
      </c>
      <c r="C101" s="44">
        <f>$C$16</f>
        <v/>
      </c>
      <c r="D101" s="44">
        <f>$D$16</f>
        <v/>
      </c>
      <c r="E101" s="44">
        <f>$E$16</f>
        <v/>
      </c>
    </row>
    <row r="102">
      <c r="B102" s="4" t="inlineStr">
        <is>
          <t>Postage (Royal Mail band, after business discount)</t>
        </is>
      </c>
      <c r="C102" s="44">
        <f>IF(C100&lt;=100,$C$20,IF(C100&lt;=250,$C$21,IF(C100&lt;=500,$C$22,IF(C100&lt;=750,$C$23,$C$24))))*$C$25</f>
        <v/>
      </c>
      <c r="D102" s="44">
        <f>IF(D100&lt;=100,$D$20,IF(D100&lt;=250,$D$21,IF(D100&lt;=500,$D$22,IF(D100&lt;=750,$D$23,$D$24))))*$D$25</f>
        <v/>
      </c>
      <c r="E102" s="44">
        <f>IF(E100&lt;=100,$E$20,IF(E100&lt;=250,$E$21,IF(E100&lt;=500,$E$22,IF(E100&lt;=750,$E$23,$E$24))))*$E$25</f>
        <v/>
      </c>
    </row>
    <row r="103">
      <c r="B103" s="4" t="inlineStr">
        <is>
          <t>Payment fees (on the VAT-inclusive billed amount)</t>
        </is>
      </c>
      <c r="C103" s="44">
        <f>C86*$C$26+$C$27</f>
        <v/>
      </c>
      <c r="D103" s="44">
        <f>D86*$D$26+$D$27</f>
        <v/>
      </c>
      <c r="E103" s="44">
        <f>E86*$E$26+$E$27</f>
        <v/>
      </c>
    </row>
    <row r="104">
      <c r="B104" s="4" t="inlineStr">
        <is>
          <t>Age verification at checkout (nil — caffeine-free)</t>
        </is>
      </c>
      <c r="C104" s="39">
        <f>$C$28</f>
        <v/>
      </c>
      <c r="D104" s="39">
        <f>$D$28</f>
        <v/>
      </c>
      <c r="E104" s="39">
        <f>$E$28</f>
        <v/>
      </c>
    </row>
    <row r="105">
      <c r="B105" s="4" t="inlineStr">
        <is>
          <t>Breakage / damage replacement</t>
        </is>
      </c>
      <c r="C105" s="44">
        <f>$C$29*(C97+C101+C102)</f>
        <v/>
      </c>
      <c r="D105" s="44">
        <f>$D$29*(D97+D101+D102)</f>
        <v/>
      </c>
      <c r="E105" s="44">
        <f>$E$29*(E97+E101+E102)</f>
        <v/>
      </c>
    </row>
    <row r="106">
      <c r="B106" s="4" t="inlineStr">
        <is>
          <t>Returns and refunds</t>
        </is>
      </c>
      <c r="C106" s="44">
        <f>$C$30*(C91+C97+C102)</f>
        <v/>
      </c>
      <c r="D106" s="44">
        <f>$D$30*(D91+D97+D102)</f>
        <v/>
      </c>
      <c r="E106" s="44">
        <f>$E$30*(E91+E97+E102)</f>
        <v/>
      </c>
    </row>
    <row r="107">
      <c r="B107" s="47" t="inlineStr">
        <is>
          <t>TOTAL VARIABLE COSTS</t>
        </is>
      </c>
      <c r="C107" s="48">
        <f>SUM(C101:C106)</f>
        <v/>
      </c>
      <c r="D107" s="48">
        <f>SUM(D101:D106)</f>
        <v/>
      </c>
      <c r="E107" s="48">
        <f>SUM(E101:E106)</f>
        <v/>
      </c>
    </row>
    <row r="108">
      <c r="B108" s="47" t="inlineStr">
        <is>
          <t>CONTRIBUTION  £</t>
        </is>
      </c>
      <c r="C108" s="49">
        <f>C98-C107</f>
        <v/>
      </c>
      <c r="D108" s="49">
        <f>D98-D107</f>
        <v/>
      </c>
      <c r="E108" s="49">
        <f>E98-E107</f>
        <v/>
      </c>
    </row>
    <row r="109">
      <c r="B109" s="4" t="inlineStr">
        <is>
          <t>CONTRIBUTION MARGIN  % of net revenue</t>
        </is>
      </c>
      <c r="C109" s="51">
        <f>IF(C91=0,"",C108/C91)</f>
        <v/>
      </c>
      <c r="D109" s="51">
        <f>IF(D91=0,"",D108/D91)</f>
        <v/>
      </c>
      <c r="E109" s="51">
        <f>IF(E91=0,"",E108/E91)</f>
        <v/>
      </c>
    </row>
    <row r="110">
      <c r="B110" s="47" t="inlineStr">
        <is>
          <t>CONTRIBUTION PER SERVING  £</t>
        </is>
      </c>
      <c r="C110" s="56">
        <f>C108/C83</f>
        <v/>
      </c>
      <c r="D110" s="56">
        <f>D108/D83</f>
        <v/>
      </c>
      <c r="E110" s="56">
        <f>E108/E83</f>
        <v/>
      </c>
    </row>
    <row r="111">
      <c r="B111" s="4" t="inlineStr">
        <is>
          <t>List price per serving, inc VAT</t>
        </is>
      </c>
      <c r="C111" s="39">
        <f>C84/C83</f>
        <v/>
      </c>
      <c r="D111" s="39">
        <f>D84/D83</f>
        <v/>
      </c>
      <c r="E111" s="39">
        <f>E84/E83</f>
        <v/>
      </c>
    </row>
    <row r="112">
      <c r="B112" s="4" t="inlineStr">
        <is>
          <t>List price per serving, NET</t>
        </is>
      </c>
      <c r="C112" s="39">
        <f>C111/(1+$C$6)</f>
        <v/>
      </c>
      <c r="D112" s="39">
        <f>D111/(1+$D$6)</f>
        <v/>
      </c>
      <c r="E112" s="39">
        <f>E111/(1+$E$6)</f>
        <v/>
      </c>
    </row>
    <row r="113">
      <c r="B113" s="4" t="inlineStr">
        <is>
          <t>Memo: parcel postage a TUBE competitor must pay</t>
        </is>
      </c>
      <c r="C113" s="44">
        <f>$C$24*$C$25</f>
        <v/>
      </c>
      <c r="D113" s="44">
        <f>$D$24*$D$25</f>
        <v/>
      </c>
      <c r="E113" s="44">
        <f>$E$24*$E$25</f>
        <v/>
      </c>
    </row>
    <row r="114">
      <c r="B114" s="4" t="inlineStr">
        <is>
          <t>Memo: LETTERBOX ADVANTAGE per order (A-006)</t>
        </is>
      </c>
      <c r="C114" s="48">
        <f>C113-C102</f>
        <v/>
      </c>
      <c r="D114" s="48">
        <f>D113-D102</f>
        <v/>
      </c>
      <c r="E114" s="48">
        <f>E113-E102</f>
        <v/>
      </c>
    </row>
    <row r="116">
      <c r="B116" s="59" t="inlineStr">
        <is>
          <t>SCENARIO SUMMARY</t>
        </is>
      </c>
    </row>
    <row r="117">
      <c r="B117" s="3" t="inlineStr">
        <is>
          <t>Metric</t>
        </is>
      </c>
    </row>
    <row r="118">
      <c r="B118" s="4" t="inlineStr">
        <is>
          <t>Gross margin % — refill</t>
        </is>
      </c>
      <c r="C118" s="66">
        <f>C64</f>
        <v/>
      </c>
      <c r="D118" s="66">
        <f>D64</f>
        <v/>
      </c>
      <c r="E118" s="66">
        <f>E64</f>
        <v/>
      </c>
    </row>
    <row r="119">
      <c r="B119" s="4" t="inlineStr">
        <is>
          <t>Contribution % — refill</t>
        </is>
      </c>
      <c r="C119" s="66">
        <f>C74</f>
        <v/>
      </c>
      <c r="D119" s="66">
        <f>D74</f>
        <v/>
      </c>
      <c r="E119" s="66">
        <f>E74</f>
        <v/>
      </c>
    </row>
    <row r="120">
      <c r="B120" s="4" t="inlineStr">
        <is>
          <t>Contribution £ — refill</t>
        </is>
      </c>
      <c r="C120" s="44">
        <f>C73</f>
        <v/>
      </c>
      <c r="D120" s="44">
        <f>D73</f>
        <v/>
      </c>
      <c r="E120" s="44">
        <f>E73</f>
        <v/>
      </c>
    </row>
    <row r="121">
      <c r="B121" s="4" t="inlineStr">
        <is>
          <t>Contribution per serving — refill</t>
        </is>
      </c>
      <c r="C121" s="39">
        <f>C75</f>
        <v/>
      </c>
      <c r="D121" s="39">
        <f>D75</f>
        <v/>
      </c>
      <c r="E121" s="39">
        <f>E75</f>
        <v/>
      </c>
    </row>
    <row r="122">
      <c r="B122" s="4" t="inlineStr">
        <is>
          <t>Gross margin % — starter (with case)</t>
        </is>
      </c>
      <c r="C122" s="66">
        <f>C99</f>
        <v/>
      </c>
      <c r="D122" s="66">
        <f>D99</f>
        <v/>
      </c>
      <c r="E122" s="66">
        <f>E99</f>
        <v/>
      </c>
    </row>
    <row r="123">
      <c r="B123" s="4" t="inlineStr">
        <is>
          <t>Contribution £ — starter (with case)</t>
        </is>
      </c>
      <c r="C123" s="44">
        <f>C108</f>
        <v/>
      </c>
      <c r="D123" s="44">
        <f>D108</f>
        <v/>
      </c>
      <c r="E123" s="44">
        <f>E108</f>
        <v/>
      </c>
    </row>
    <row r="124">
      <c r="B124" s="4" t="inlineStr">
        <is>
          <t>CAC</t>
        </is>
      </c>
      <c r="C124" s="44">
        <f>C$33</f>
        <v/>
      </c>
      <c r="D124" s="44">
        <f>D$33</f>
        <v/>
      </c>
      <c r="E124" s="44">
        <f>E$33</f>
        <v/>
      </c>
    </row>
    <row r="125">
      <c r="B125" s="4" t="inlineStr">
        <is>
          <t>Monthly churn</t>
        </is>
      </c>
      <c r="C125" s="66">
        <f>C$34</f>
        <v/>
      </c>
      <c r="D125" s="66">
        <f>D$34</f>
        <v/>
      </c>
      <c r="E125" s="66">
        <f>E$34</f>
        <v/>
      </c>
    </row>
    <row r="126">
      <c r="B126" s="4" t="inlineStr">
        <is>
          <t>First-refill drop</t>
        </is>
      </c>
      <c r="C126" s="66">
        <f>C$35</f>
        <v/>
      </c>
      <c r="D126" s="66">
        <f>D$35</f>
        <v/>
      </c>
      <c r="E126" s="66">
        <f>E$35</f>
        <v/>
      </c>
    </row>
    <row r="127">
      <c r="B127" s="4" t="inlineStr">
        <is>
          <t>Retained subscriber-months, 12m</t>
        </is>
      </c>
      <c r="C127" s="41">
        <f>(1-C$35)*(1-(1-C$34)^12)/C$34</f>
        <v/>
      </c>
      <c r="D127" s="41">
        <f>(1-D$35)*(1-(1-D$34)^12)/D$34</f>
        <v/>
      </c>
      <c r="E127" s="41">
        <f>(1-E$35)*(1-(1-E$34)^12)/E$34</f>
        <v/>
      </c>
    </row>
    <row r="128">
      <c r="B128" s="4" t="inlineStr">
        <is>
          <t>Retained subscriber-months, 24m</t>
        </is>
      </c>
      <c r="C128" s="41">
        <f>(1-C$35)*(1-(1-C$34)^24)/C$34</f>
        <v/>
      </c>
      <c r="D128" s="41">
        <f>(1-D$35)*(1-(1-D$34)^24)/D$34</f>
        <v/>
      </c>
      <c r="E128" s="41">
        <f>(1-E$35)*(1-(1-E$34)^24)/E$34</f>
        <v/>
      </c>
    </row>
    <row r="129">
      <c r="B129" s="4" t="inlineStr">
        <is>
          <t>LTV 12m (contribution)</t>
        </is>
      </c>
      <c r="C129" s="48">
        <f>(C108+C127*C73)</f>
        <v/>
      </c>
      <c r="D129" s="48">
        <f>(D108+D127*D73)</f>
        <v/>
      </c>
      <c r="E129" s="48">
        <f>(E108+E127*E73)</f>
        <v/>
      </c>
    </row>
    <row r="130">
      <c r="B130" s="4" t="inlineStr">
        <is>
          <t>LTV 24m (contribution)</t>
        </is>
      </c>
      <c r="C130" s="48">
        <f>(C108+C128*C73)</f>
        <v/>
      </c>
      <c r="D130" s="48">
        <f>(D108+D128*D73)</f>
        <v/>
      </c>
      <c r="E130" s="48">
        <f>(E108+E128*E73)</f>
        <v/>
      </c>
    </row>
    <row r="131">
      <c r="B131" s="4" t="inlineStr">
        <is>
          <t>LTV:CAC 12m</t>
        </is>
      </c>
      <c r="C131" s="68">
        <f>C129/C124</f>
        <v/>
      </c>
      <c r="D131" s="68">
        <f>D129/D124</f>
        <v/>
      </c>
      <c r="E131" s="68">
        <f>E129/E124</f>
        <v/>
      </c>
    </row>
    <row r="132">
      <c r="B132" s="4" t="inlineStr">
        <is>
          <t>LTV:CAC 24m</t>
        </is>
      </c>
      <c r="C132" s="68">
        <f>C130/C124</f>
        <v/>
      </c>
      <c r="D132" s="68">
        <f>D130/D124</f>
        <v/>
      </c>
      <c r="E132" s="68">
        <f>E130/E124</f>
        <v/>
      </c>
    </row>
    <row r="133">
      <c r="B133" s="4" t="inlineStr">
        <is>
          <t>CAC payback (months of refills)</t>
        </is>
      </c>
      <c r="C133" s="69">
        <f>IF(C108&gt;=C$33,0,IF(C108+C73*(1-C$35)/C$34&lt;=C$33,"never",LN(1-(C$33-C108)*C$34/(C73*(1-C$35)))/LN(1-C$34)))</f>
        <v/>
      </c>
      <c r="D133" s="69">
        <f>IF(D108&gt;=D$33,0,IF(D108+D73*(1-D$35)/D$34&lt;=D$33,"never",LN(1-(D$33-D108)*D$34/(D73*(1-D$35)))/LN(1-D$34)))</f>
        <v/>
      </c>
      <c r="E133" s="69">
        <f>IF(E108&gt;=E$33,0,IF(E108+E73*(1-E$35)/E$34&lt;=E$33,"never",LN(1-(E$33-E108)*E$34/(E73*(1-E$35)))/LN(1-E$34)))</f>
        <v/>
      </c>
    </row>
    <row r="134">
      <c r="B134" s="4" t="inlineStr">
        <is>
          <t>Verdict</t>
        </is>
      </c>
      <c r="C134" s="3">
        <f>IF(C131&gt;=3,"Healthy - 3x+ 12-month LTV:CAC",IF(C131&gt;=1,"Marginal - recovers CAC inside 12 months but little left for overhead","FAILS - 12-month contribution does not recover CAC"))</f>
        <v/>
      </c>
      <c r="D134" s="3">
        <f>IF(D131&gt;=3,"Healthy - 3x+ 12-month LTV:CAC",IF(D131&gt;=1,"Marginal - recovers CAC inside 12 months but little left for overhead","FAILS - 12-month contribution does not recover CAC"))</f>
        <v/>
      </c>
      <c r="E134" s="3">
        <f>IF(E131&gt;=3,"Healthy - 3x+ 12-month LTV:CAC",IF(E131&gt;=1,"Marginal - recovers CAC inside 12 months but little left for overhead","FAILS - 12-month contribution does not recover CAC"))</f>
        <v/>
      </c>
    </row>
    <row r="135">
      <c r="B135" s="47" t="inlineStr">
        <is>
          <t>MAXIMUM LIFETIME CONTRIBUTION (infinite horizon — the ceiling)</t>
        </is>
      </c>
      <c r="C135" s="49">
        <f>C108+C73*(1-C$35)/C$34</f>
        <v/>
      </c>
      <c r="D135" s="49">
        <f>D108+D73*(1-D$35)/D$34</f>
        <v/>
      </c>
      <c r="E135" s="49">
        <f>E108+E73*(1-E$35)/E$34</f>
        <v/>
      </c>
    </row>
    <row r="136">
      <c r="B136" s="47" t="inlineStr">
        <is>
          <t>MAX LTV:CAC (infinite horizon)</t>
        </is>
      </c>
      <c r="C136" s="70">
        <f>C135/C124</f>
        <v/>
      </c>
      <c r="D136" s="70">
        <f>D135/D124</f>
        <v/>
      </c>
      <c r="E136" s="70">
        <f>E135/E124</f>
        <v/>
      </c>
    </row>
    <row r="137">
      <c r="B137" s="47" t="inlineStr">
        <is>
          <t>Expected subscriber lifetime (months)</t>
        </is>
      </c>
      <c r="C137" s="72">
        <f>(1-C$35)/C$34</f>
        <v/>
      </c>
      <c r="D137" s="72">
        <f>(1-D$35)/D$34</f>
        <v/>
      </c>
      <c r="E137" s="72">
        <f>(1-E$35)/E$34</f>
        <v/>
      </c>
    </row>
    <row r="138" ht="32" customHeight="1">
      <c r="B138" s="64" t="inlineStr">
        <is>
          <t>THE CEILING. At a given churn rate the expected subscriber lifetime is fixed, so the maximum any customer can ever be worth is fixed too. Compare the ceiling with the CAC row above. If the two are close, the business is not short of patience — it is short of retention or short of price.</t>
        </is>
      </c>
    </row>
    <row r="140">
      <c r="B140" s="59" t="inlineStr">
        <is>
          <t>PART B — ONE-VARIABLE SENSITIVITY on the BASE case (everything else held at base)</t>
        </is>
      </c>
    </row>
    <row r="141" ht="28" customHeight="1">
      <c r="B141" s="4" t="inlineStr">
        <is>
          <t>Each row re-derives the whole chain with ONE driver overridden. Outputs: contribution per refill, contribution per serving, 12-month LTV on a contribution basis, LTV:CAC and CAC payback in months. 'never' means the 24-month contribution stream never recovers CAC.</t>
        </is>
      </c>
    </row>
    <row r="142">
      <c r="B142" s="73" t="inlineStr">
        <is>
          <t>PRICE — monthly subscription RRP inc VAT</t>
        </is>
      </c>
    </row>
    <row r="143" ht="32" customHeight="1">
      <c r="A143" s="34" t="inlineStr"/>
      <c r="B143" s="34" t="inlineStr">
        <is>
          <t>Level</t>
        </is>
      </c>
      <c r="C143" s="34" t="inlineStr">
        <is>
          <t>Refill contribution £</t>
        </is>
      </c>
      <c r="D143" s="34" t="inlineStr">
        <is>
          <t>Contribution / serving</t>
        </is>
      </c>
      <c r="E143" s="34" t="inlineStr">
        <is>
          <t>LTV 12m (contribution)</t>
        </is>
      </c>
      <c r="F143" s="34" t="inlineStr">
        <is>
          <t>LTV:CAC 12m</t>
        </is>
      </c>
      <c r="G143" s="34" t="inlineStr">
        <is>
          <t>CAC payback (months)</t>
        </is>
      </c>
      <c r="H143" s="34" t="inlineStr">
        <is>
          <t>Shipments per calendar month (usage / pack)</t>
        </is>
      </c>
      <c r="I143" s="34" t="inlineStr">
        <is>
          <t>Months of supply</t>
        </is>
      </c>
    </row>
    <row r="144">
      <c r="B144" s="38" t="n">
        <v>14.99</v>
      </c>
      <c r="C144" s="44">
        <f>((B144*$D$43)/(1+$D$6))-($D$8*$D$11+$D$8*$D$12+$D$13+$D$14)-($D$16+(IF(($D$8*$D$7+$D$8*$D$17+$D$18)&lt;=100,$D$20,IF(($D$8*$D$7+$D$8*$D$17+$D$18)&lt;=250,$D$21,IF(($D$8*$D$7+$D$8*$D$17+$D$18)&lt;=500,$D$22,IF(($D$8*$D$7+$D$8*$D$17+$D$18)&lt;=750,$D$23,$D$24))))*$D$25)+((B144*$D$43)*$D$26+$D$27)+$D$28+($D$29*(($D$8*$D$11+$D$8*$D$12+$D$13+$D$14)+$D$16+(IF(($D$8*$D$7+$D$8*$D$17+$D$18)&lt;=100,$D$20,IF(($D$8*$D$7+$D$8*$D$17+$D$18)&lt;=250,$D$21,IF(($D$8*$D$7+$D$8*$D$17+$D$18)&lt;=500,$D$22,IF(($D$8*$D$7+$D$8*$D$17+$D$18)&lt;=750,$D$23,$D$24))))*$D$25)))+($D$30*(((B144*$D$43)/(1+$D$6))+($D$8*$D$11+$D$8*$D$12+$D$13+$D$14)+(IF(($D$8*$D$7+$D$8*$D$17+$D$18)&lt;=100,$D$20,IF(($D$8*$D$7+$D$8*$D$17+$D$18)&lt;=250,$D$21,IF(($D$8*$D$7+$D$8*$D$17+$D$18)&lt;=500,$D$22,IF(($D$8*$D$7+$D$8*$D$17+$D$18)&lt;=750,$D$23,$D$24))))*$D$25))))</f>
        <v/>
      </c>
      <c r="D144" s="39">
        <f>C144/$D$8</f>
        <v/>
      </c>
      <c r="E144" s="44">
        <f>$D$108+C144*H144*(1-$D$35)*(1-(1-$D$34)^12)/$D$34</f>
        <v/>
      </c>
      <c r="F144" s="42">
        <f>E144/$D$33</f>
        <v/>
      </c>
      <c r="G144" s="53">
        <f>IF($D$108&gt;=$D$33,0,IF($D$108+C144*H144*(1-$D$35)/$D$34&lt;=$D$33,"never",LN(1-($D$33-$D$108)*$D$34/(C144*H144*(1-$D$35)))/LN(1-$D$34)))</f>
        <v/>
      </c>
      <c r="H144" s="41">
        <f>MIN(1,$D$9/$D$8)</f>
        <v/>
      </c>
      <c r="I144" s="41">
        <f>$D$8/$D$9</f>
        <v/>
      </c>
    </row>
    <row r="145">
      <c r="B145" s="38" t="n">
        <v>16.99</v>
      </c>
      <c r="C145" s="44">
        <f>((B145*$D$43)/(1+$D$6))-($D$8*$D$11+$D$8*$D$12+$D$13+$D$14)-($D$16+(IF(($D$8*$D$7+$D$8*$D$17+$D$18)&lt;=100,$D$20,IF(($D$8*$D$7+$D$8*$D$17+$D$18)&lt;=250,$D$21,IF(($D$8*$D$7+$D$8*$D$17+$D$18)&lt;=500,$D$22,IF(($D$8*$D$7+$D$8*$D$17+$D$18)&lt;=750,$D$23,$D$24))))*$D$25)+((B145*$D$43)*$D$26+$D$27)+$D$28+($D$29*(($D$8*$D$11+$D$8*$D$12+$D$13+$D$14)+$D$16+(IF(($D$8*$D$7+$D$8*$D$17+$D$18)&lt;=100,$D$20,IF(($D$8*$D$7+$D$8*$D$17+$D$18)&lt;=250,$D$21,IF(($D$8*$D$7+$D$8*$D$17+$D$18)&lt;=500,$D$22,IF(($D$8*$D$7+$D$8*$D$17+$D$18)&lt;=750,$D$23,$D$24))))*$D$25)))+($D$30*(((B145*$D$43)/(1+$D$6))+($D$8*$D$11+$D$8*$D$12+$D$13+$D$14)+(IF(($D$8*$D$7+$D$8*$D$17+$D$18)&lt;=100,$D$20,IF(($D$8*$D$7+$D$8*$D$17+$D$18)&lt;=250,$D$21,IF(($D$8*$D$7+$D$8*$D$17+$D$18)&lt;=500,$D$22,IF(($D$8*$D$7+$D$8*$D$17+$D$18)&lt;=750,$D$23,$D$24))))*$D$25))))</f>
        <v/>
      </c>
      <c r="D145" s="39">
        <f>C145/$D$8</f>
        <v/>
      </c>
      <c r="E145" s="44">
        <f>$D$108+C145*H145*(1-$D$35)*(1-(1-$D$34)^12)/$D$34</f>
        <v/>
      </c>
      <c r="F145" s="42">
        <f>E145/$D$33</f>
        <v/>
      </c>
      <c r="G145" s="53">
        <f>IF($D$108&gt;=$D$33,0,IF($D$108+C145*H145*(1-$D$35)/$D$34&lt;=$D$33,"never",LN(1-($D$33-$D$108)*$D$34/(C145*H145*(1-$D$35)))/LN(1-$D$34)))</f>
        <v/>
      </c>
      <c r="H145" s="41">
        <f>MIN(1,$D$9/$D$8)</f>
        <v/>
      </c>
      <c r="I145" s="41">
        <f>$D$8/$D$9</f>
        <v/>
      </c>
    </row>
    <row r="146">
      <c r="B146" s="38" t="n">
        <v>19.99</v>
      </c>
      <c r="C146" s="44">
        <f>((B146*$D$43)/(1+$D$6))-($D$8*$D$11+$D$8*$D$12+$D$13+$D$14)-($D$16+(IF(($D$8*$D$7+$D$8*$D$17+$D$18)&lt;=100,$D$20,IF(($D$8*$D$7+$D$8*$D$17+$D$18)&lt;=250,$D$21,IF(($D$8*$D$7+$D$8*$D$17+$D$18)&lt;=500,$D$22,IF(($D$8*$D$7+$D$8*$D$17+$D$18)&lt;=750,$D$23,$D$24))))*$D$25)+((B146*$D$43)*$D$26+$D$27)+$D$28+($D$29*(($D$8*$D$11+$D$8*$D$12+$D$13+$D$14)+$D$16+(IF(($D$8*$D$7+$D$8*$D$17+$D$18)&lt;=100,$D$20,IF(($D$8*$D$7+$D$8*$D$17+$D$18)&lt;=250,$D$21,IF(($D$8*$D$7+$D$8*$D$17+$D$18)&lt;=500,$D$22,IF(($D$8*$D$7+$D$8*$D$17+$D$18)&lt;=750,$D$23,$D$24))))*$D$25)))+($D$30*(((B146*$D$43)/(1+$D$6))+($D$8*$D$11+$D$8*$D$12+$D$13+$D$14)+(IF(($D$8*$D$7+$D$8*$D$17+$D$18)&lt;=100,$D$20,IF(($D$8*$D$7+$D$8*$D$17+$D$18)&lt;=250,$D$21,IF(($D$8*$D$7+$D$8*$D$17+$D$18)&lt;=500,$D$22,IF(($D$8*$D$7+$D$8*$D$17+$D$18)&lt;=750,$D$23,$D$24))))*$D$25))))</f>
        <v/>
      </c>
      <c r="D146" s="39">
        <f>C146/$D$8</f>
        <v/>
      </c>
      <c r="E146" s="44">
        <f>$D$108+C146*H146*(1-$D$35)*(1-(1-$D$34)^12)/$D$34</f>
        <v/>
      </c>
      <c r="F146" s="42">
        <f>E146/$D$33</f>
        <v/>
      </c>
      <c r="G146" s="53">
        <f>IF($D$108&gt;=$D$33,0,IF($D$108+C146*H146*(1-$D$35)/$D$34&lt;=$D$33,"never",LN(1-($D$33-$D$108)*$D$34/(C146*H146*(1-$D$35)))/LN(1-$D$34)))</f>
        <v/>
      </c>
      <c r="H146" s="41">
        <f>MIN(1,$D$9/$D$8)</f>
        <v/>
      </c>
      <c r="I146" s="41">
        <f>$D$8/$D$9</f>
        <v/>
      </c>
    </row>
    <row r="147">
      <c r="B147" s="38" t="n">
        <v>22.99</v>
      </c>
      <c r="C147" s="44">
        <f>((B147*$D$43)/(1+$D$6))-($D$8*$D$11+$D$8*$D$12+$D$13+$D$14)-($D$16+(IF(($D$8*$D$7+$D$8*$D$17+$D$18)&lt;=100,$D$20,IF(($D$8*$D$7+$D$8*$D$17+$D$18)&lt;=250,$D$21,IF(($D$8*$D$7+$D$8*$D$17+$D$18)&lt;=500,$D$22,IF(($D$8*$D$7+$D$8*$D$17+$D$18)&lt;=750,$D$23,$D$24))))*$D$25)+((B147*$D$43)*$D$26+$D$27)+$D$28+($D$29*(($D$8*$D$11+$D$8*$D$12+$D$13+$D$14)+$D$16+(IF(($D$8*$D$7+$D$8*$D$17+$D$18)&lt;=100,$D$20,IF(($D$8*$D$7+$D$8*$D$17+$D$18)&lt;=250,$D$21,IF(($D$8*$D$7+$D$8*$D$17+$D$18)&lt;=500,$D$22,IF(($D$8*$D$7+$D$8*$D$17+$D$18)&lt;=750,$D$23,$D$24))))*$D$25)))+($D$30*(((B147*$D$43)/(1+$D$6))+($D$8*$D$11+$D$8*$D$12+$D$13+$D$14)+(IF(($D$8*$D$7+$D$8*$D$17+$D$18)&lt;=100,$D$20,IF(($D$8*$D$7+$D$8*$D$17+$D$18)&lt;=250,$D$21,IF(($D$8*$D$7+$D$8*$D$17+$D$18)&lt;=500,$D$22,IF(($D$8*$D$7+$D$8*$D$17+$D$18)&lt;=750,$D$23,$D$24))))*$D$25))))</f>
        <v/>
      </c>
      <c r="D147" s="39">
        <f>C147/$D$8</f>
        <v/>
      </c>
      <c r="E147" s="44">
        <f>$D$108+C147*H147*(1-$D$35)*(1-(1-$D$34)^12)/$D$34</f>
        <v/>
      </c>
      <c r="F147" s="42">
        <f>E147/$D$33</f>
        <v/>
      </c>
      <c r="G147" s="53">
        <f>IF($D$108&gt;=$D$33,0,IF($D$108+C147*H147*(1-$D$35)/$D$34&lt;=$D$33,"never",LN(1-($D$33-$D$108)*$D$34/(C147*H147*(1-$D$35)))/LN(1-$D$34)))</f>
        <v/>
      </c>
      <c r="H147" s="41">
        <f>MIN(1,$D$9/$D$8)</f>
        <v/>
      </c>
      <c r="I147" s="41">
        <f>$D$8/$D$9</f>
        <v/>
      </c>
    </row>
    <row r="148">
      <c r="B148" s="38" t="n">
        <v>25.99</v>
      </c>
      <c r="C148" s="44">
        <f>((B148*$D$43)/(1+$D$6))-($D$8*$D$11+$D$8*$D$12+$D$13+$D$14)-($D$16+(IF(($D$8*$D$7+$D$8*$D$17+$D$18)&lt;=100,$D$20,IF(($D$8*$D$7+$D$8*$D$17+$D$18)&lt;=250,$D$21,IF(($D$8*$D$7+$D$8*$D$17+$D$18)&lt;=500,$D$22,IF(($D$8*$D$7+$D$8*$D$17+$D$18)&lt;=750,$D$23,$D$24))))*$D$25)+((B148*$D$43)*$D$26+$D$27)+$D$28+($D$29*(($D$8*$D$11+$D$8*$D$12+$D$13+$D$14)+$D$16+(IF(($D$8*$D$7+$D$8*$D$17+$D$18)&lt;=100,$D$20,IF(($D$8*$D$7+$D$8*$D$17+$D$18)&lt;=250,$D$21,IF(($D$8*$D$7+$D$8*$D$17+$D$18)&lt;=500,$D$22,IF(($D$8*$D$7+$D$8*$D$17+$D$18)&lt;=750,$D$23,$D$24))))*$D$25)))+($D$30*(((B148*$D$43)/(1+$D$6))+($D$8*$D$11+$D$8*$D$12+$D$13+$D$14)+(IF(($D$8*$D$7+$D$8*$D$17+$D$18)&lt;=100,$D$20,IF(($D$8*$D$7+$D$8*$D$17+$D$18)&lt;=250,$D$21,IF(($D$8*$D$7+$D$8*$D$17+$D$18)&lt;=500,$D$22,IF(($D$8*$D$7+$D$8*$D$17+$D$18)&lt;=750,$D$23,$D$24))))*$D$25))))</f>
        <v/>
      </c>
      <c r="D148" s="39">
        <f>C148/$D$8</f>
        <v/>
      </c>
      <c r="E148" s="44">
        <f>$D$108+C148*H148*(1-$D$35)*(1-(1-$D$34)^12)/$D$34</f>
        <v/>
      </c>
      <c r="F148" s="42">
        <f>E148/$D$33</f>
        <v/>
      </c>
      <c r="G148" s="53">
        <f>IF($D$108&gt;=$D$33,0,IF($D$108+C148*H148*(1-$D$35)/$D$34&lt;=$D$33,"never",LN(1-($D$33-$D$108)*$D$34/(C148*H148*(1-$D$35)))/LN(1-$D$34)))</f>
        <v/>
      </c>
      <c r="H148" s="41">
        <f>MIN(1,$D$9/$D$8)</f>
        <v/>
      </c>
      <c r="I148" s="41">
        <f>$D$8/$D$9</f>
        <v/>
      </c>
    </row>
    <row r="150">
      <c r="B150" s="73" t="inlineStr">
        <is>
          <t>COGS — total tablet cost (£/tablet)</t>
        </is>
      </c>
    </row>
    <row r="151" ht="32" customHeight="1">
      <c r="A151" s="34" t="inlineStr"/>
      <c r="B151" s="34" t="inlineStr">
        <is>
          <t>Level</t>
        </is>
      </c>
      <c r="C151" s="34" t="inlineStr">
        <is>
          <t>Refill contribution £</t>
        </is>
      </c>
      <c r="D151" s="34" t="inlineStr">
        <is>
          <t>Contribution / serving</t>
        </is>
      </c>
      <c r="E151" s="34" t="inlineStr">
        <is>
          <t>LTV 12m (contribution)</t>
        </is>
      </c>
      <c r="F151" s="34" t="inlineStr">
        <is>
          <t>LTV:CAC 12m</t>
        </is>
      </c>
      <c r="G151" s="34" t="inlineStr">
        <is>
          <t>CAC payback (months)</t>
        </is>
      </c>
      <c r="H151" s="34" t="inlineStr">
        <is>
          <t>Shipments per calendar month (usage / pack)</t>
        </is>
      </c>
      <c r="I151" s="34" t="inlineStr">
        <is>
          <t>Months of supply</t>
        </is>
      </c>
    </row>
    <row r="152">
      <c r="B152" s="74" t="n">
        <v>0.1</v>
      </c>
      <c r="C152" s="44">
        <f>(($D$38*$D$43)/(1+$D$6))-($D$8*B152+$D$8*$D$12+$D$13+$D$14)-($D$16+(IF(($D$8*$D$7+$D$8*$D$17+$D$18)&lt;=100,$D$20,IF(($D$8*$D$7+$D$8*$D$17+$D$18)&lt;=250,$D$21,IF(($D$8*$D$7+$D$8*$D$17+$D$18)&lt;=500,$D$22,IF(($D$8*$D$7+$D$8*$D$17+$D$18)&lt;=750,$D$23,$D$24))))*$D$25)+(($D$38*$D$43)*$D$26+$D$27)+$D$28+($D$29*(($D$8*B152+$D$8*$D$12+$D$13+$D$14)+$D$16+(IF(($D$8*$D$7+$D$8*$D$17+$D$18)&lt;=100,$D$20,IF(($D$8*$D$7+$D$8*$D$17+$D$18)&lt;=250,$D$21,IF(($D$8*$D$7+$D$8*$D$17+$D$18)&lt;=500,$D$22,IF(($D$8*$D$7+$D$8*$D$17+$D$18)&lt;=750,$D$23,$D$24))))*$D$25)))+($D$30*((($D$38*$D$43)/(1+$D$6))+($D$8*B152+$D$8*$D$12+$D$13+$D$14)+(IF(($D$8*$D$7+$D$8*$D$17+$D$18)&lt;=100,$D$20,IF(($D$8*$D$7+$D$8*$D$17+$D$18)&lt;=250,$D$21,IF(($D$8*$D$7+$D$8*$D$17+$D$18)&lt;=500,$D$22,IF(($D$8*$D$7+$D$8*$D$17+$D$18)&lt;=750,$D$23,$D$24))))*$D$25))))</f>
        <v/>
      </c>
      <c r="D152" s="39">
        <f>C152/$D$8</f>
        <v/>
      </c>
      <c r="E152" s="44">
        <f>$D$108+C152*H152*(1-$D$35)*(1-(1-$D$34)^12)/$D$34</f>
        <v/>
      </c>
      <c r="F152" s="42">
        <f>E152/$D$33</f>
        <v/>
      </c>
      <c r="G152" s="53">
        <f>IF($D$108&gt;=$D$33,0,IF($D$108+C152*H152*(1-$D$35)/$D$34&lt;=$D$33,"never",LN(1-($D$33-$D$108)*$D$34/(C152*H152*(1-$D$35)))/LN(1-$D$34)))</f>
        <v/>
      </c>
      <c r="H152" s="41">
        <f>MIN(1,$D$9/$D$8)</f>
        <v/>
      </c>
      <c r="I152" s="41">
        <f>$D$8/$D$9</f>
        <v/>
      </c>
    </row>
    <row r="153">
      <c r="B153" s="74" t="n">
        <v>0.14</v>
      </c>
      <c r="C153" s="44">
        <f>(($D$38*$D$43)/(1+$D$6))-($D$8*B153+$D$8*$D$12+$D$13+$D$14)-($D$16+(IF(($D$8*$D$7+$D$8*$D$17+$D$18)&lt;=100,$D$20,IF(($D$8*$D$7+$D$8*$D$17+$D$18)&lt;=250,$D$21,IF(($D$8*$D$7+$D$8*$D$17+$D$18)&lt;=500,$D$22,IF(($D$8*$D$7+$D$8*$D$17+$D$18)&lt;=750,$D$23,$D$24))))*$D$25)+(($D$38*$D$43)*$D$26+$D$27)+$D$28+($D$29*(($D$8*B153+$D$8*$D$12+$D$13+$D$14)+$D$16+(IF(($D$8*$D$7+$D$8*$D$17+$D$18)&lt;=100,$D$20,IF(($D$8*$D$7+$D$8*$D$17+$D$18)&lt;=250,$D$21,IF(($D$8*$D$7+$D$8*$D$17+$D$18)&lt;=500,$D$22,IF(($D$8*$D$7+$D$8*$D$17+$D$18)&lt;=750,$D$23,$D$24))))*$D$25)))+($D$30*((($D$38*$D$43)/(1+$D$6))+($D$8*B153+$D$8*$D$12+$D$13+$D$14)+(IF(($D$8*$D$7+$D$8*$D$17+$D$18)&lt;=100,$D$20,IF(($D$8*$D$7+$D$8*$D$17+$D$18)&lt;=250,$D$21,IF(($D$8*$D$7+$D$8*$D$17+$D$18)&lt;=500,$D$22,IF(($D$8*$D$7+$D$8*$D$17+$D$18)&lt;=750,$D$23,$D$24))))*$D$25))))</f>
        <v/>
      </c>
      <c r="D153" s="39">
        <f>C153/$D$8</f>
        <v/>
      </c>
      <c r="E153" s="44">
        <f>$D$108+C153*H153*(1-$D$35)*(1-(1-$D$34)^12)/$D$34</f>
        <v/>
      </c>
      <c r="F153" s="42">
        <f>E153/$D$33</f>
        <v/>
      </c>
      <c r="G153" s="53">
        <f>IF($D$108&gt;=$D$33,0,IF($D$108+C153*H153*(1-$D$35)/$D$34&lt;=$D$33,"never",LN(1-($D$33-$D$108)*$D$34/(C153*H153*(1-$D$35)))/LN(1-$D$34)))</f>
        <v/>
      </c>
      <c r="H153" s="41">
        <f>MIN(1,$D$9/$D$8)</f>
        <v/>
      </c>
      <c r="I153" s="41">
        <f>$D$8/$D$9</f>
        <v/>
      </c>
    </row>
    <row r="154">
      <c r="B154" s="75">
        <f>$D$11</f>
        <v/>
      </c>
      <c r="C154" s="44">
        <f>(($D$38*$D$43)/(1+$D$6))-($D$8*B154+$D$8*$D$12+$D$13+$D$14)-($D$16+(IF(($D$8*$D$7+$D$8*$D$17+$D$18)&lt;=100,$D$20,IF(($D$8*$D$7+$D$8*$D$17+$D$18)&lt;=250,$D$21,IF(($D$8*$D$7+$D$8*$D$17+$D$18)&lt;=500,$D$22,IF(($D$8*$D$7+$D$8*$D$17+$D$18)&lt;=750,$D$23,$D$24))))*$D$25)+(($D$38*$D$43)*$D$26+$D$27)+$D$28+($D$29*(($D$8*B154+$D$8*$D$12+$D$13+$D$14)+$D$16+(IF(($D$8*$D$7+$D$8*$D$17+$D$18)&lt;=100,$D$20,IF(($D$8*$D$7+$D$8*$D$17+$D$18)&lt;=250,$D$21,IF(($D$8*$D$7+$D$8*$D$17+$D$18)&lt;=500,$D$22,IF(($D$8*$D$7+$D$8*$D$17+$D$18)&lt;=750,$D$23,$D$24))))*$D$25)))+($D$30*((($D$38*$D$43)/(1+$D$6))+($D$8*B154+$D$8*$D$12+$D$13+$D$14)+(IF(($D$8*$D$7+$D$8*$D$17+$D$18)&lt;=100,$D$20,IF(($D$8*$D$7+$D$8*$D$17+$D$18)&lt;=250,$D$21,IF(($D$8*$D$7+$D$8*$D$17+$D$18)&lt;=500,$D$22,IF(($D$8*$D$7+$D$8*$D$17+$D$18)&lt;=750,$D$23,$D$24))))*$D$25))))</f>
        <v/>
      </c>
      <c r="D154" s="39">
        <f>C154/$D$8</f>
        <v/>
      </c>
      <c r="E154" s="44">
        <f>$D$108+C154*H154*(1-$D$35)*(1-(1-$D$34)^12)/$D$34</f>
        <v/>
      </c>
      <c r="F154" s="42">
        <f>E154/$D$33</f>
        <v/>
      </c>
      <c r="G154" s="53">
        <f>IF($D$108&gt;=$D$33,0,IF($D$108+C154*H154*(1-$D$35)/$D$34&lt;=$D$33,"never",LN(1-($D$33-$D$108)*$D$34/(C154*H154*(1-$D$35)))/LN(1-$D$34)))</f>
        <v/>
      </c>
      <c r="H154" s="41">
        <f>MIN(1,$D$9/$D$8)</f>
        <v/>
      </c>
      <c r="I154" s="41">
        <f>$D$8/$D$9</f>
        <v/>
      </c>
    </row>
    <row r="155">
      <c r="B155" s="74" t="n">
        <v>0.24</v>
      </c>
      <c r="C155" s="44">
        <f>(($D$38*$D$43)/(1+$D$6))-($D$8*B155+$D$8*$D$12+$D$13+$D$14)-($D$16+(IF(($D$8*$D$7+$D$8*$D$17+$D$18)&lt;=100,$D$20,IF(($D$8*$D$7+$D$8*$D$17+$D$18)&lt;=250,$D$21,IF(($D$8*$D$7+$D$8*$D$17+$D$18)&lt;=500,$D$22,IF(($D$8*$D$7+$D$8*$D$17+$D$18)&lt;=750,$D$23,$D$24))))*$D$25)+(($D$38*$D$43)*$D$26+$D$27)+$D$28+($D$29*(($D$8*B155+$D$8*$D$12+$D$13+$D$14)+$D$16+(IF(($D$8*$D$7+$D$8*$D$17+$D$18)&lt;=100,$D$20,IF(($D$8*$D$7+$D$8*$D$17+$D$18)&lt;=250,$D$21,IF(($D$8*$D$7+$D$8*$D$17+$D$18)&lt;=500,$D$22,IF(($D$8*$D$7+$D$8*$D$17+$D$18)&lt;=750,$D$23,$D$24))))*$D$25)))+($D$30*((($D$38*$D$43)/(1+$D$6))+($D$8*B155+$D$8*$D$12+$D$13+$D$14)+(IF(($D$8*$D$7+$D$8*$D$17+$D$18)&lt;=100,$D$20,IF(($D$8*$D$7+$D$8*$D$17+$D$18)&lt;=250,$D$21,IF(($D$8*$D$7+$D$8*$D$17+$D$18)&lt;=500,$D$22,IF(($D$8*$D$7+$D$8*$D$17+$D$18)&lt;=750,$D$23,$D$24))))*$D$25))))</f>
        <v/>
      </c>
      <c r="D155" s="39">
        <f>C155/$D$8</f>
        <v/>
      </c>
      <c r="E155" s="44">
        <f>$D$108+C155*H155*(1-$D$35)*(1-(1-$D$34)^12)/$D$34</f>
        <v/>
      </c>
      <c r="F155" s="42">
        <f>E155/$D$33</f>
        <v/>
      </c>
      <c r="G155" s="53">
        <f>IF($D$108&gt;=$D$33,0,IF($D$108+C155*H155*(1-$D$35)/$D$34&lt;=$D$33,"never",LN(1-($D$33-$D$108)*$D$34/(C155*H155*(1-$D$35)))/LN(1-$D$34)))</f>
        <v/>
      </c>
      <c r="H155" s="41">
        <f>MIN(1,$D$9/$D$8)</f>
        <v/>
      </c>
      <c r="I155" s="41">
        <f>$D$8/$D$9</f>
        <v/>
      </c>
    </row>
    <row r="156">
      <c r="B156" s="74" t="n">
        <v>0.32</v>
      </c>
      <c r="C156" s="44">
        <f>(($D$38*$D$43)/(1+$D$6))-($D$8*B156+$D$8*$D$12+$D$13+$D$14)-($D$16+(IF(($D$8*$D$7+$D$8*$D$17+$D$18)&lt;=100,$D$20,IF(($D$8*$D$7+$D$8*$D$17+$D$18)&lt;=250,$D$21,IF(($D$8*$D$7+$D$8*$D$17+$D$18)&lt;=500,$D$22,IF(($D$8*$D$7+$D$8*$D$17+$D$18)&lt;=750,$D$23,$D$24))))*$D$25)+(($D$38*$D$43)*$D$26+$D$27)+$D$28+($D$29*(($D$8*B156+$D$8*$D$12+$D$13+$D$14)+$D$16+(IF(($D$8*$D$7+$D$8*$D$17+$D$18)&lt;=100,$D$20,IF(($D$8*$D$7+$D$8*$D$17+$D$18)&lt;=250,$D$21,IF(($D$8*$D$7+$D$8*$D$17+$D$18)&lt;=500,$D$22,IF(($D$8*$D$7+$D$8*$D$17+$D$18)&lt;=750,$D$23,$D$24))))*$D$25)))+($D$30*((($D$38*$D$43)/(1+$D$6))+($D$8*B156+$D$8*$D$12+$D$13+$D$14)+(IF(($D$8*$D$7+$D$8*$D$17+$D$18)&lt;=100,$D$20,IF(($D$8*$D$7+$D$8*$D$17+$D$18)&lt;=250,$D$21,IF(($D$8*$D$7+$D$8*$D$17+$D$18)&lt;=500,$D$22,IF(($D$8*$D$7+$D$8*$D$17+$D$18)&lt;=750,$D$23,$D$24))))*$D$25))))</f>
        <v/>
      </c>
      <c r="D156" s="39">
        <f>C156/$D$8</f>
        <v/>
      </c>
      <c r="E156" s="44">
        <f>$D$108+C156*H156*(1-$D$35)*(1-(1-$D$34)^12)/$D$34</f>
        <v/>
      </c>
      <c r="F156" s="42">
        <f>E156/$D$33</f>
        <v/>
      </c>
      <c r="G156" s="53">
        <f>IF($D$108&gt;=$D$33,0,IF($D$108+C156*H156*(1-$D$35)/$D$34&lt;=$D$33,"never",LN(1-($D$33-$D$108)*$D$34/(C156*H156*(1-$D$35)))/LN(1-$D$34)))</f>
        <v/>
      </c>
      <c r="H156" s="41">
        <f>MIN(1,$D$9/$D$8)</f>
        <v/>
      </c>
      <c r="I156" s="41">
        <f>$D$8/$D$9</f>
        <v/>
      </c>
    </row>
    <row r="158">
      <c r="B158" s="73" t="inlineStr">
        <is>
          <t>CHURN — total monthly churn</t>
        </is>
      </c>
    </row>
    <row r="159" ht="32" customHeight="1">
      <c r="A159" s="34" t="inlineStr"/>
      <c r="B159" s="34" t="inlineStr">
        <is>
          <t>Level</t>
        </is>
      </c>
      <c r="C159" s="34" t="inlineStr">
        <is>
          <t>Refill contribution £</t>
        </is>
      </c>
      <c r="D159" s="34" t="inlineStr">
        <is>
          <t>Contribution / serving</t>
        </is>
      </c>
      <c r="E159" s="34" t="inlineStr">
        <is>
          <t>LTV 12m (contribution)</t>
        </is>
      </c>
      <c r="F159" s="34" t="inlineStr">
        <is>
          <t>LTV:CAC 12m</t>
        </is>
      </c>
      <c r="G159" s="34" t="inlineStr">
        <is>
          <t>CAC payback (months)</t>
        </is>
      </c>
      <c r="H159" s="34" t="inlineStr">
        <is>
          <t>Shipments per calendar month (usage / pack)</t>
        </is>
      </c>
      <c r="I159" s="34" t="inlineStr">
        <is>
          <t>Months of supply</t>
        </is>
      </c>
    </row>
    <row r="160">
      <c r="B160" s="76" t="n">
        <v>0.06</v>
      </c>
      <c r="C160"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0" s="39">
        <f>C160/$D$8</f>
        <v/>
      </c>
      <c r="E160" s="44">
        <f>$D$108+C160*H160*(1-$D$35)*(1-(1-B160)^12)/B160</f>
        <v/>
      </c>
      <c r="F160" s="42">
        <f>E160/$D$33</f>
        <v/>
      </c>
      <c r="G160" s="53">
        <f>IF($D$108&gt;=$D$33,0,IF($D$108+C160*H160*(1-$D$35)/B160&lt;=$D$33,"never",LN(1-($D$33-$D$108)*B160/(C160*H160*(1-$D$35)))/LN(1-B160)))</f>
        <v/>
      </c>
      <c r="H160" s="41">
        <f>MIN(1,$D$9/$D$8)</f>
        <v/>
      </c>
      <c r="I160" s="41">
        <f>$D$8/$D$9</f>
        <v/>
      </c>
    </row>
    <row r="161">
      <c r="B161" s="76" t="n">
        <v>0.08</v>
      </c>
      <c r="C161"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1" s="39">
        <f>C161/$D$8</f>
        <v/>
      </c>
      <c r="E161" s="44">
        <f>$D$108+C161*H161*(1-$D$35)*(1-(1-B161)^12)/B161</f>
        <v/>
      </c>
      <c r="F161" s="42">
        <f>E161/$D$33</f>
        <v/>
      </c>
      <c r="G161" s="53">
        <f>IF($D$108&gt;=$D$33,0,IF($D$108+C161*H161*(1-$D$35)/B161&lt;=$D$33,"never",LN(1-($D$33-$D$108)*B161/(C161*H161*(1-$D$35)))/LN(1-B161)))</f>
        <v/>
      </c>
      <c r="H161" s="41">
        <f>MIN(1,$D$9/$D$8)</f>
        <v/>
      </c>
      <c r="I161" s="41">
        <f>$D$8/$D$9</f>
        <v/>
      </c>
    </row>
    <row r="162">
      <c r="B162" s="51">
        <f>$D$34</f>
        <v/>
      </c>
      <c r="C162"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2" s="39">
        <f>C162/$D$8</f>
        <v/>
      </c>
      <c r="E162" s="44">
        <f>$D$108+C162*H162*(1-$D$35)*(1-(1-B162)^12)/B162</f>
        <v/>
      </c>
      <c r="F162" s="42">
        <f>E162/$D$33</f>
        <v/>
      </c>
      <c r="G162" s="53">
        <f>IF($D$108&gt;=$D$33,0,IF($D$108+C162*H162*(1-$D$35)/B162&lt;=$D$33,"never",LN(1-($D$33-$D$108)*B162/(C162*H162*(1-$D$35)))/LN(1-B162)))</f>
        <v/>
      </c>
      <c r="H162" s="41">
        <f>MIN(1,$D$9/$D$8)</f>
        <v/>
      </c>
      <c r="I162" s="41">
        <f>$D$8/$D$9</f>
        <v/>
      </c>
    </row>
    <row r="163">
      <c r="B163" s="76" t="n">
        <v>0.14</v>
      </c>
      <c r="C163"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3" s="39">
        <f>C163/$D$8</f>
        <v/>
      </c>
      <c r="E163" s="44">
        <f>$D$108+C163*H163*(1-$D$35)*(1-(1-B163)^12)/B163</f>
        <v/>
      </c>
      <c r="F163" s="42">
        <f>E163/$D$33</f>
        <v/>
      </c>
      <c r="G163" s="53">
        <f>IF($D$108&gt;=$D$33,0,IF($D$108+C163*H163*(1-$D$35)/B163&lt;=$D$33,"never",LN(1-($D$33-$D$108)*B163/(C163*H163*(1-$D$35)))/LN(1-B163)))</f>
        <v/>
      </c>
      <c r="H163" s="41">
        <f>MIN(1,$D$9/$D$8)</f>
        <v/>
      </c>
      <c r="I163" s="41">
        <f>$D$8/$D$9</f>
        <v/>
      </c>
    </row>
    <row r="164">
      <c r="B164" s="76" t="n">
        <v>0.18</v>
      </c>
      <c r="C164"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4" s="39">
        <f>C164/$D$8</f>
        <v/>
      </c>
      <c r="E164" s="44">
        <f>$D$108+C164*H164*(1-$D$35)*(1-(1-B164)^12)/B164</f>
        <v/>
      </c>
      <c r="F164" s="42">
        <f>E164/$D$33</f>
        <v/>
      </c>
      <c r="G164" s="53">
        <f>IF($D$108&gt;=$D$33,0,IF($D$108+C164*H164*(1-$D$35)/B164&lt;=$D$33,"never",LN(1-($D$33-$D$108)*B164/(C164*H164*(1-$D$35)))/LN(1-B164)))</f>
        <v/>
      </c>
      <c r="H164" s="41">
        <f>MIN(1,$D$9/$D$8)</f>
        <v/>
      </c>
      <c r="I164" s="41">
        <f>$D$8/$D$9</f>
        <v/>
      </c>
    </row>
    <row r="166">
      <c r="B166" s="73" t="inlineStr">
        <is>
          <t>CAC — blended £ per customer</t>
        </is>
      </c>
    </row>
    <row r="167" ht="32" customHeight="1">
      <c r="A167" s="34" t="inlineStr"/>
      <c r="B167" s="34" t="inlineStr">
        <is>
          <t>Level</t>
        </is>
      </c>
      <c r="C167" s="34" t="inlineStr">
        <is>
          <t>Refill contribution £</t>
        </is>
      </c>
      <c r="D167" s="34" t="inlineStr">
        <is>
          <t>Contribution / serving</t>
        </is>
      </c>
      <c r="E167" s="34" t="inlineStr">
        <is>
          <t>LTV 12m (contribution)</t>
        </is>
      </c>
      <c r="F167" s="34" t="inlineStr">
        <is>
          <t>LTV:CAC 12m</t>
        </is>
      </c>
      <c r="G167" s="34" t="inlineStr">
        <is>
          <t>CAC payback (months)</t>
        </is>
      </c>
      <c r="H167" s="34" t="inlineStr">
        <is>
          <t>Shipments per calendar month (usage / pack)</t>
        </is>
      </c>
      <c r="I167" s="34" t="inlineStr">
        <is>
          <t>Months of supply</t>
        </is>
      </c>
    </row>
    <row r="168">
      <c r="B168" s="38" t="n">
        <v>25</v>
      </c>
      <c r="C168"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8" s="39">
        <f>C168/$D$8</f>
        <v/>
      </c>
      <c r="E168" s="44">
        <f>$D$108+C168*H168*(1-$D$35)*(1-(1-$D$34)^12)/$D$34</f>
        <v/>
      </c>
      <c r="F168" s="42">
        <f>E168/B168</f>
        <v/>
      </c>
      <c r="G168" s="53">
        <f>IF($D$108&gt;=B168,0,IF($D$108+C168*H168*(1-$D$35)/$D$34&lt;=B168,"never",LN(1-(B168-$D$108)*$D$34/(C168*H168*(1-$D$35)))/LN(1-$D$34)))</f>
        <v/>
      </c>
      <c r="H168" s="41">
        <f>MIN(1,$D$9/$D$8)</f>
        <v/>
      </c>
      <c r="I168" s="41">
        <f>$D$8/$D$9</f>
        <v/>
      </c>
    </row>
    <row r="169">
      <c r="B169" s="38" t="n">
        <v>40</v>
      </c>
      <c r="C169"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69" s="39">
        <f>C169/$D$8</f>
        <v/>
      </c>
      <c r="E169" s="44">
        <f>$D$108+C169*H169*(1-$D$35)*(1-(1-$D$34)^12)/$D$34</f>
        <v/>
      </c>
      <c r="F169" s="42">
        <f>E169/B169</f>
        <v/>
      </c>
      <c r="G169" s="53">
        <f>IF($D$108&gt;=B169,0,IF($D$108+C169*H169*(1-$D$35)/$D$34&lt;=B169,"never",LN(1-(B169-$D$108)*$D$34/(C169*H169*(1-$D$35)))/LN(1-$D$34)))</f>
        <v/>
      </c>
      <c r="H169" s="41">
        <f>MIN(1,$D$9/$D$8)</f>
        <v/>
      </c>
      <c r="I169" s="41">
        <f>$D$8/$D$9</f>
        <v/>
      </c>
    </row>
    <row r="170">
      <c r="B170" s="49">
        <f>$D$33</f>
        <v/>
      </c>
      <c r="C170"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0" s="39">
        <f>C170/$D$8</f>
        <v/>
      </c>
      <c r="E170" s="44">
        <f>$D$108+C170*H170*(1-$D$35)*(1-(1-$D$34)^12)/$D$34</f>
        <v/>
      </c>
      <c r="F170" s="42">
        <f>E170/B170</f>
        <v/>
      </c>
      <c r="G170" s="53">
        <f>IF($D$108&gt;=B170,0,IF($D$108+C170*H170*(1-$D$35)/$D$34&lt;=B170,"never",LN(1-(B170-$D$108)*$D$34/(C170*H170*(1-$D$35)))/LN(1-$D$34)))</f>
        <v/>
      </c>
      <c r="H170" s="41">
        <f>MIN(1,$D$9/$D$8)</f>
        <v/>
      </c>
      <c r="I170" s="41">
        <f>$D$8/$D$9</f>
        <v/>
      </c>
    </row>
    <row r="171">
      <c r="B171" s="38" t="n">
        <v>70</v>
      </c>
      <c r="C171"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1" s="39">
        <f>C171/$D$8</f>
        <v/>
      </c>
      <c r="E171" s="44">
        <f>$D$108+C171*H171*(1-$D$35)*(1-(1-$D$34)^12)/$D$34</f>
        <v/>
      </c>
      <c r="F171" s="42">
        <f>E171/B171</f>
        <v/>
      </c>
      <c r="G171" s="53">
        <f>IF($D$108&gt;=B171,0,IF($D$108+C171*H171*(1-$D$35)/$D$34&lt;=B171,"never",LN(1-(B171-$D$108)*$D$34/(C171*H171*(1-$D$35)))/LN(1-$D$34)))</f>
        <v/>
      </c>
      <c r="H171" s="41">
        <f>MIN(1,$D$9/$D$8)</f>
        <v/>
      </c>
      <c r="I171" s="41">
        <f>$D$8/$D$9</f>
        <v/>
      </c>
    </row>
    <row r="172">
      <c r="B172" s="38" t="n">
        <v>95</v>
      </c>
      <c r="C172"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2" s="39">
        <f>C172/$D$8</f>
        <v/>
      </c>
      <c r="E172" s="44">
        <f>$D$108+C172*H172*(1-$D$35)*(1-(1-$D$34)^12)/$D$34</f>
        <v/>
      </c>
      <c r="F172" s="42">
        <f>E172/B172</f>
        <v/>
      </c>
      <c r="G172" s="53">
        <f>IF($D$108&gt;=B172,0,IF($D$108+C172*H172*(1-$D$35)/$D$34&lt;=B172,"never",LN(1-(B172-$D$108)*$D$34/(C172*H172*(1-$D$35)))/LN(1-$D$34)))</f>
        <v/>
      </c>
      <c r="H172" s="41">
        <f>MIN(1,$D$9/$D$8)</f>
        <v/>
      </c>
      <c r="I172" s="41">
        <f>$D$8/$D$9</f>
        <v/>
      </c>
    </row>
    <row r="174">
      <c r="B174" s="73" t="inlineStr">
        <is>
          <t>USAGE — servings consumed per month (drives cadence, not pack size)</t>
        </is>
      </c>
    </row>
    <row r="175" ht="32" customHeight="1">
      <c r="A175" s="34" t="inlineStr"/>
      <c r="B175" s="34" t="inlineStr">
        <is>
          <t>Level</t>
        </is>
      </c>
      <c r="C175" s="34" t="inlineStr">
        <is>
          <t>Refill contribution £</t>
        </is>
      </c>
      <c r="D175" s="34" t="inlineStr">
        <is>
          <t>Contribution / serving</t>
        </is>
      </c>
      <c r="E175" s="34" t="inlineStr">
        <is>
          <t>LTV 12m (contribution)</t>
        </is>
      </c>
      <c r="F175" s="34" t="inlineStr">
        <is>
          <t>LTV:CAC 12m</t>
        </is>
      </c>
      <c r="G175" s="34" t="inlineStr">
        <is>
          <t>CAC payback (months)</t>
        </is>
      </c>
      <c r="H175" s="34" t="inlineStr">
        <is>
          <t>Shipments per calendar month (usage / pack)</t>
        </is>
      </c>
      <c r="I175" s="34" t="inlineStr">
        <is>
          <t>Months of supply</t>
        </is>
      </c>
    </row>
    <row r="176">
      <c r="B176" s="77" t="n">
        <v>20</v>
      </c>
      <c r="C176"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6" s="39">
        <f>C176/$D$8</f>
        <v/>
      </c>
      <c r="E176" s="44">
        <f>$D$108+C176*H176*(1-$D$35)*(1-(1-$D$34)^12)/$D$34</f>
        <v/>
      </c>
      <c r="F176" s="42">
        <f>E176/$D$33</f>
        <v/>
      </c>
      <c r="G176" s="53">
        <f>IF($D$108&gt;=$D$33,0,IF($D$108+C176*H176*(1-$D$35)/$D$34&lt;=$D$33,"never",LN(1-($D$33-$D$108)*$D$34/(C176*H176*(1-$D$35)))/LN(1-$D$34)))</f>
        <v/>
      </c>
      <c r="H176" s="41">
        <f>MIN(1,B176/$D$8)</f>
        <v/>
      </c>
      <c r="I176" s="41">
        <f>$D$8/B176</f>
        <v/>
      </c>
    </row>
    <row r="177">
      <c r="B177" s="77" t="n">
        <v>24</v>
      </c>
      <c r="C177"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7" s="39">
        <f>C177/$D$8</f>
        <v/>
      </c>
      <c r="E177" s="44">
        <f>$D$108+C177*H177*(1-$D$35)*(1-(1-$D$34)^12)/$D$34</f>
        <v/>
      </c>
      <c r="F177" s="42">
        <f>E177/$D$33</f>
        <v/>
      </c>
      <c r="G177" s="53">
        <f>IF($D$108&gt;=$D$33,0,IF($D$108+C177*H177*(1-$D$35)/$D$34&lt;=$D$33,"never",LN(1-($D$33-$D$108)*$D$34/(C177*H177*(1-$D$35)))/LN(1-$D$34)))</f>
        <v/>
      </c>
      <c r="H177" s="41">
        <f>MIN(1,B177/$D$8)</f>
        <v/>
      </c>
      <c r="I177" s="41">
        <f>$D$8/B177</f>
        <v/>
      </c>
    </row>
    <row r="178">
      <c r="B178" s="72">
        <f>$D$9</f>
        <v/>
      </c>
      <c r="C178"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8" s="39">
        <f>C178/$D$8</f>
        <v/>
      </c>
      <c r="E178" s="44">
        <f>$D$108+C178*H178*(1-$D$35)*(1-(1-$D$34)^12)/$D$34</f>
        <v/>
      </c>
      <c r="F178" s="42">
        <f>E178/$D$33</f>
        <v/>
      </c>
      <c r="G178" s="53">
        <f>IF($D$108&gt;=$D$33,0,IF($D$108+C178*H178*(1-$D$35)/$D$34&lt;=$D$33,"never",LN(1-($D$33-$D$108)*$D$34/(C178*H178*(1-$D$35)))/LN(1-$D$34)))</f>
        <v/>
      </c>
      <c r="H178" s="41">
        <f>MIN(1,B178/$D$8)</f>
        <v/>
      </c>
      <c r="I178" s="41">
        <f>$D$8/B178</f>
        <v/>
      </c>
    </row>
    <row r="179">
      <c r="B179" s="77" t="n">
        <v>30</v>
      </c>
      <c r="C179"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79" s="39">
        <f>C179/$D$8</f>
        <v/>
      </c>
      <c r="E179" s="44">
        <f>$D$108+C179*H179*(1-$D$35)*(1-(1-$D$34)^12)/$D$34</f>
        <v/>
      </c>
      <c r="F179" s="42">
        <f>E179/$D$33</f>
        <v/>
      </c>
      <c r="G179" s="53">
        <f>IF($D$108&gt;=$D$33,0,IF($D$108+C179*H179*(1-$D$35)/$D$34&lt;=$D$33,"never",LN(1-($D$33-$D$108)*$D$34/(C179*H179*(1-$D$35)))/LN(1-$D$34)))</f>
        <v/>
      </c>
      <c r="H179" s="41">
        <f>MIN(1,B179/$D$8)</f>
        <v/>
      </c>
      <c r="I179" s="41">
        <f>$D$8/B179</f>
        <v/>
      </c>
    </row>
    <row r="180">
      <c r="B180" s="77" t="n">
        <v>31</v>
      </c>
      <c r="C180" s="44">
        <f>(($D$38*$D$43)/(1+$D$6))-($D$8*$D$11+$D$8*$D$12+$D$13+$D$14)-($D$16+(IF(($D$8*$D$7+$D$8*$D$17+$D$18)&lt;=100,$D$20,IF(($D$8*$D$7+$D$8*$D$17+$D$18)&lt;=250,$D$21,IF(($D$8*$D$7+$D$8*$D$17+$D$18)&lt;=500,$D$22,IF(($D$8*$D$7+$D$8*$D$17+$D$18)&lt;=750,$D$23,$D$24))))*$D$25)+(($D$38*$D$43)*$D$26+$D$27)+$D$28+($D$29*(($D$8*$D$11+$D$8*$D$12+$D$13+$D$14)+$D$16+(IF(($D$8*$D$7+$D$8*$D$17+$D$18)&lt;=100,$D$20,IF(($D$8*$D$7+$D$8*$D$17+$D$18)&lt;=250,$D$21,IF(($D$8*$D$7+$D$8*$D$17+$D$18)&lt;=500,$D$22,IF(($D$8*$D$7+$D$8*$D$17+$D$18)&lt;=750,$D$23,$D$24))))*$D$25)))+($D$30*((($D$38*$D$43)/(1+$D$6))+($D$8*$D$11+$D$8*$D$12+$D$13+$D$14)+(IF(($D$8*$D$7+$D$8*$D$17+$D$18)&lt;=100,$D$20,IF(($D$8*$D$7+$D$8*$D$17+$D$18)&lt;=250,$D$21,IF(($D$8*$D$7+$D$8*$D$17+$D$18)&lt;=500,$D$22,IF(($D$8*$D$7+$D$8*$D$17+$D$18)&lt;=750,$D$23,$D$24))))*$D$25))))</f>
        <v/>
      </c>
      <c r="D180" s="39">
        <f>C180/$D$8</f>
        <v/>
      </c>
      <c r="E180" s="44">
        <f>$D$108+C180*H180*(1-$D$35)*(1-(1-$D$34)^12)/$D$34</f>
        <v/>
      </c>
      <c r="F180" s="42">
        <f>E180/$D$33</f>
        <v/>
      </c>
      <c r="G180" s="53">
        <f>IF($D$108&gt;=$D$33,0,IF($D$108+C180*H180*(1-$D$35)/$D$34&lt;=$D$33,"never",LN(1-($D$33-$D$108)*$D$34/(C180*H180*(1-$D$35)))/LN(1-$D$34)))</f>
        <v/>
      </c>
      <c r="H180" s="41">
        <f>MIN(1,B180/$D$8)</f>
        <v/>
      </c>
      <c r="I180" s="41">
        <f>$D$8/B180</f>
        <v/>
      </c>
    </row>
    <row r="182" ht="42" customHeight="1">
      <c r="B182" s="4" t="inlineStr">
        <is>
          <t>HOW TO READ PART B. Only the named variable moves; the starter-kit contribution is held at base throughout, which means the price and COGS rows understate the true swing (a price or COGS change would move the starter too). The purpose is rank-ordering the drivers, not forecasting. Read the LTV:CAC column: whichever variable moves it furthest across its plausible range is the thing to go and measure first.</t>
        </is>
      </c>
    </row>
    <row r="184">
      <c r="B184" s="73" t="inlineStr">
        <is>
          <t>PART C — THE TWO-WAY GRID THAT MATTERS: CAC x CHURN -&gt; 12-month LTV:CAC (architecture A1, base everything else)</t>
        </is>
      </c>
    </row>
    <row r="185">
      <c r="B185" s="3" t="inlineStr">
        <is>
          <t>Monthly churn  \  Blended CAC</t>
        </is>
      </c>
      <c r="C185" s="78" t="n">
        <v>20</v>
      </c>
      <c r="D185" s="78" t="n">
        <v>30</v>
      </c>
      <c r="E185" s="78" t="n">
        <v>40</v>
      </c>
      <c r="F185" s="78" t="n">
        <v>55</v>
      </c>
      <c r="G185" s="78" t="n">
        <v>70</v>
      </c>
      <c r="H185" s="78" t="n">
        <v>95</v>
      </c>
    </row>
    <row r="186">
      <c r="B186" s="79" t="n">
        <v>0.05</v>
      </c>
      <c r="C186" s="42">
        <f>($D$108+$D$73*(1-$D$35)*(1-(1-$B186)^12)/$B186)/C$185</f>
        <v/>
      </c>
      <c r="D186" s="42">
        <f>($D$108+$D$73*(1-$D$35)*(1-(1-$B186)^12)/$B186)/D$185</f>
        <v/>
      </c>
      <c r="E186" s="42">
        <f>($D$108+$D$73*(1-$D$35)*(1-(1-$B186)^12)/$B186)/E$185</f>
        <v/>
      </c>
      <c r="F186" s="42">
        <f>($D$108+$D$73*(1-$D$35)*(1-(1-$B186)^12)/$B186)/F$185</f>
        <v/>
      </c>
      <c r="G186" s="42">
        <f>($D$108+$D$73*(1-$D$35)*(1-(1-$B186)^12)/$B186)/G$185</f>
        <v/>
      </c>
      <c r="H186" s="42">
        <f>($D$108+$D$73*(1-$D$35)*(1-(1-$B186)^12)/$B186)/H$185</f>
        <v/>
      </c>
    </row>
    <row r="187">
      <c r="B187" s="79" t="n">
        <v>0.07000000000000001</v>
      </c>
      <c r="C187" s="42">
        <f>($D$108+$D$73*(1-$D$35)*(1-(1-$B187)^12)/$B187)/C$185</f>
        <v/>
      </c>
      <c r="D187" s="42">
        <f>($D$108+$D$73*(1-$D$35)*(1-(1-$B187)^12)/$B187)/D$185</f>
        <v/>
      </c>
      <c r="E187" s="42">
        <f>($D$108+$D$73*(1-$D$35)*(1-(1-$B187)^12)/$B187)/E$185</f>
        <v/>
      </c>
      <c r="F187" s="42">
        <f>($D$108+$D$73*(1-$D$35)*(1-(1-$B187)^12)/$B187)/F$185</f>
        <v/>
      </c>
      <c r="G187" s="42">
        <f>($D$108+$D$73*(1-$D$35)*(1-(1-$B187)^12)/$B187)/G$185</f>
        <v/>
      </c>
      <c r="H187" s="42">
        <f>($D$108+$D$73*(1-$D$35)*(1-(1-$B187)^12)/$B187)/H$185</f>
        <v/>
      </c>
    </row>
    <row r="188">
      <c r="B188" s="79" t="n">
        <v>0.09</v>
      </c>
      <c r="C188" s="42">
        <f>($D$108+$D$73*(1-$D$35)*(1-(1-$B188)^12)/$B188)/C$185</f>
        <v/>
      </c>
      <c r="D188" s="42">
        <f>($D$108+$D$73*(1-$D$35)*(1-(1-$B188)^12)/$B188)/D$185</f>
        <v/>
      </c>
      <c r="E188" s="42">
        <f>($D$108+$D$73*(1-$D$35)*(1-(1-$B188)^12)/$B188)/E$185</f>
        <v/>
      </c>
      <c r="F188" s="42">
        <f>($D$108+$D$73*(1-$D$35)*(1-(1-$B188)^12)/$B188)/F$185</f>
        <v/>
      </c>
      <c r="G188" s="42">
        <f>($D$108+$D$73*(1-$D$35)*(1-(1-$B188)^12)/$B188)/G$185</f>
        <v/>
      </c>
      <c r="H188" s="42">
        <f>($D$108+$D$73*(1-$D$35)*(1-(1-$B188)^12)/$B188)/H$185</f>
        <v/>
      </c>
    </row>
    <row r="189">
      <c r="B189" s="79" t="n">
        <v>0.11</v>
      </c>
      <c r="C189" s="42">
        <f>($D$108+$D$73*(1-$D$35)*(1-(1-$B189)^12)/$B189)/C$185</f>
        <v/>
      </c>
      <c r="D189" s="42">
        <f>($D$108+$D$73*(1-$D$35)*(1-(1-$B189)^12)/$B189)/D$185</f>
        <v/>
      </c>
      <c r="E189" s="42">
        <f>($D$108+$D$73*(1-$D$35)*(1-(1-$B189)^12)/$B189)/E$185</f>
        <v/>
      </c>
      <c r="F189" s="42">
        <f>($D$108+$D$73*(1-$D$35)*(1-(1-$B189)^12)/$B189)/F$185</f>
        <v/>
      </c>
      <c r="G189" s="42">
        <f>($D$108+$D$73*(1-$D$35)*(1-(1-$B189)^12)/$B189)/G$185</f>
        <v/>
      </c>
      <c r="H189" s="42">
        <f>($D$108+$D$73*(1-$D$35)*(1-(1-$B189)^12)/$B189)/H$185</f>
        <v/>
      </c>
    </row>
    <row r="190">
      <c r="B190" s="79" t="n">
        <v>0.14</v>
      </c>
      <c r="C190" s="42">
        <f>($D$108+$D$73*(1-$D$35)*(1-(1-$B190)^12)/$B190)/C$185</f>
        <v/>
      </c>
      <c r="D190" s="42">
        <f>($D$108+$D$73*(1-$D$35)*(1-(1-$B190)^12)/$B190)/D$185</f>
        <v/>
      </c>
      <c r="E190" s="42">
        <f>($D$108+$D$73*(1-$D$35)*(1-(1-$B190)^12)/$B190)/E$185</f>
        <v/>
      </c>
      <c r="F190" s="42">
        <f>($D$108+$D$73*(1-$D$35)*(1-(1-$B190)^12)/$B190)/F$185</f>
        <v/>
      </c>
      <c r="G190" s="42">
        <f>($D$108+$D$73*(1-$D$35)*(1-(1-$B190)^12)/$B190)/G$185</f>
        <v/>
      </c>
      <c r="H190" s="42">
        <f>($D$108+$D$73*(1-$D$35)*(1-(1-$B190)^12)/$B190)/H$185</f>
        <v/>
      </c>
    </row>
    <row r="191">
      <c r="B191" s="79" t="n">
        <v>0.18</v>
      </c>
      <c r="C191" s="42">
        <f>($D$108+$D$73*(1-$D$35)*(1-(1-$B191)^12)/$B191)/C$185</f>
        <v/>
      </c>
      <c r="D191" s="42">
        <f>($D$108+$D$73*(1-$D$35)*(1-(1-$B191)^12)/$B191)/D$185</f>
        <v/>
      </c>
      <c r="E191" s="42">
        <f>($D$108+$D$73*(1-$D$35)*(1-(1-$B191)^12)/$B191)/E$185</f>
        <v/>
      </c>
      <c r="F191" s="42">
        <f>($D$108+$D$73*(1-$D$35)*(1-(1-$B191)^12)/$B191)/F$185</f>
        <v/>
      </c>
      <c r="G191" s="42">
        <f>($D$108+$D$73*(1-$D$35)*(1-(1-$B191)^12)/$B191)/G$185</f>
        <v/>
      </c>
      <c r="H191" s="42">
        <f>($D$108+$D$73*(1-$D$35)*(1-(1-$B191)^12)/$B191)/H$185</f>
        <v/>
      </c>
    </row>
    <row r="193" ht="45" customHeight="1">
      <c r="B193" s="64" t="inlineStr">
        <is>
          <t>THIS GRID IS THE WHOLE BUSINESS CASE ON ONE PAGE. Read the 3.0x contour. Anything at or above 3.0x is a fundable D2C subscription; 1.0x-3.0x recovers the acquisition cost but funds no overhead, no team and no brand; below 1.0x the business destroys value with every customer it acquires. Our base case sits at CAC £44 and churn 11%. Find that cell. Then decide which of the two numbers you believe you can move, because you will have to move one of them.</t>
        </is>
      </c>
    </row>
  </sheetData>
  <mergeCells count="5">
    <mergeCell ref="B44:I44"/>
    <mergeCell ref="B138:I138"/>
    <mergeCell ref="B182:I182"/>
    <mergeCell ref="B141:I141"/>
    <mergeCell ref="B193:I19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showGridLines="0" workbookViewId="0">
      <selection activeCell="A1" sqref="A1"/>
    </sheetView>
  </sheetViews>
  <sheetFormatPr baseColWidth="8" defaultRowHeight="15"/>
  <cols>
    <col width="4" customWidth="1" min="1" max="1"/>
    <col width="50" customWidth="1" min="2" max="2"/>
    <col width="19" customWidth="1" min="3" max="3"/>
    <col width="19" customWidth="1" min="4" max="4"/>
    <col width="19" customWidth="1" min="5" max="5"/>
    <col width="19" customWidth="1" min="6" max="6"/>
    <col width="19" customWidth="1" min="7" max="7"/>
    <col width="58" customWidth="1" min="8" max="8"/>
  </cols>
  <sheetData>
    <row r="1">
      <c r="A1" s="1" t="inlineStr">
        <is>
          <t>07 PRICE ARCHITECTURE OPTIONS — four coherent architectures, priced end to end</t>
        </is>
      </c>
    </row>
    <row r="2">
      <c r="A2" s="2" t="inlineStr">
        <is>
          <t>All D2C. All use base-case Inputs. Each is internally coherent: pack size, entry price, ongoing price and cadence hang together.</t>
        </is>
      </c>
    </row>
    <row r="4" ht="46" customHeight="1">
      <c r="A4" s="34" t="inlineStr"/>
      <c r="B4" s="34" t="inlineStr">
        <is>
          <t>Line</t>
        </is>
      </c>
      <c r="C4" s="34" t="inlineStr">
        <is>
          <t>A1 — THE BRIEF, CORRECTED
Case-led starter, monthly refill</t>
        </is>
      </c>
      <c r="D4" s="34" t="inlineStr">
        <is>
          <t>A2 — SUBSCRIPTION-FIRST, NO HARDWARE AT ENTRY
Intro-priced first month, case an optional accessory</t>
        </is>
      </c>
      <c r="E4" s="34" t="inlineStr">
        <is>
          <t>A3 — PREMIUM RITUAL, PREPAID QUARTERLY
Case-led starter, then a quarterly shipment</t>
        </is>
      </c>
      <c r="F4" s="34" t="inlineStr">
        <is>
          <t>A4 — VALUE-LED VOLUME
Low entry, low ongoing, no hardware</t>
        </is>
      </c>
      <c r="G4" s="34" t="inlineStr">
        <is>
          <t>A5 — RECOMMENDED HYBRID
No hardware at entry, quarterly cadence, branded actives</t>
        </is>
      </c>
      <c r="H4" s="34" t="inlineStr">
        <is>
          <t>Comment</t>
        </is>
      </c>
    </row>
    <row r="5">
      <c r="B5" s="4" t="inlineStr">
        <is>
          <t>Starter: list price inc VAT</t>
        </is>
      </c>
      <c r="C5" s="38" t="n">
        <v>29.99</v>
      </c>
      <c r="D5" s="38" t="n">
        <v>14.99</v>
      </c>
      <c r="E5" s="38" t="n">
        <v>34.99</v>
      </c>
      <c r="F5" s="38" t="n">
        <v>12.99</v>
      </c>
      <c r="G5" s="38" t="n">
        <v>19.99</v>
      </c>
    </row>
    <row r="6">
      <c r="B6" s="4" t="inlineStr">
        <is>
          <t>Starter: tablets</t>
        </is>
      </c>
      <c r="C6" s="37" t="n">
        <v>30</v>
      </c>
      <c r="D6" s="37" t="n">
        <v>30</v>
      </c>
      <c r="E6" s="37" t="n">
        <v>30</v>
      </c>
      <c r="F6" s="37" t="n">
        <v>30</v>
      </c>
      <c r="G6" s="37" t="n">
        <v>30</v>
      </c>
    </row>
    <row r="7" ht="26" customHeight="1">
      <c r="B7" s="4" t="inlineStr">
        <is>
          <t>Starter: includes the aluminium case? (1/0)</t>
        </is>
      </c>
      <c r="C7" s="37" t="n">
        <v>1</v>
      </c>
      <c r="D7" s="37" t="n">
        <v>0</v>
      </c>
      <c r="E7" s="37" t="n">
        <v>1</v>
      </c>
      <c r="F7" s="37" t="n">
        <v>0</v>
      </c>
      <c r="G7" s="37" t="n">
        <v>0</v>
      </c>
      <c r="H7" s="2" t="inlineStr">
        <is>
          <t>A-025 is unproven. A2, A4 and A5 sell the case separately as an accessory; A1 and A3 bundle it.</t>
        </is>
      </c>
    </row>
    <row r="8" ht="65" customHeight="1">
      <c r="B8" s="4" t="inlineStr">
        <is>
          <t>Actives grade (1 = commodity USP forms, 2 = branded / patented forms)</t>
        </is>
      </c>
      <c r="C8" s="37" t="n">
        <v>1</v>
      </c>
      <c r="D8" s="37" t="n">
        <v>1</v>
      </c>
      <c r="E8" s="37" t="n">
        <v>1</v>
      </c>
      <c r="F8" s="37" t="n">
        <v>1</v>
      </c>
      <c r="G8" s="37" t="n">
        <v>2</v>
      </c>
      <c r="H8" s="2" t="inlineStr">
        <is>
          <t>A5 is the only architecture priced to carry branded source forms. That is the point of it: vitamin-category-map.md §9 and A-049 say a survivable premium needs something own-label cannot have, and the authorised CLAIMS are not it (A-045). Subject to the A-043 permitted-source-form risk.</t>
        </is>
      </c>
    </row>
    <row r="9">
      <c r="B9" s="4" t="inlineStr">
        <is>
          <t>Ongoing: list price inc VAT</t>
        </is>
      </c>
      <c r="C9" s="38" t="n">
        <v>19.99</v>
      </c>
      <c r="D9" s="38" t="n">
        <v>22.99</v>
      </c>
      <c r="E9" s="38" t="n">
        <v>54.99</v>
      </c>
      <c r="F9" s="38" t="n">
        <v>15.99</v>
      </c>
      <c r="G9" s="38" t="n">
        <v>74.98999999999999</v>
      </c>
    </row>
    <row r="10">
      <c r="B10" s="4" t="inlineStr">
        <is>
          <t>Ongoing: tablets per shipment</t>
        </is>
      </c>
      <c r="C10" s="37" t="n">
        <v>30</v>
      </c>
      <c r="D10" s="37" t="n">
        <v>30</v>
      </c>
      <c r="E10" s="37" t="n">
        <v>90</v>
      </c>
      <c r="F10" s="37" t="n">
        <v>30</v>
      </c>
      <c r="G10" s="37" t="n">
        <v>90</v>
      </c>
    </row>
    <row r="11">
      <c r="B11" s="4" t="inlineStr">
        <is>
          <t>Ongoing: cadence (months per shipment)</t>
        </is>
      </c>
      <c r="C11" s="37" t="n">
        <v>1</v>
      </c>
      <c r="D11" s="37" t="n">
        <v>1</v>
      </c>
      <c r="E11" s="37" t="n">
        <v>3</v>
      </c>
      <c r="F11" s="37" t="n">
        <v>1</v>
      </c>
      <c r="G11" s="37" t="n">
        <v>3</v>
      </c>
    </row>
    <row r="12" ht="15" customHeight="1">
      <c r="B12" s="4" t="inlineStr">
        <is>
          <t>One-off (non-subscriber) price inc VAT</t>
        </is>
      </c>
      <c r="C12" s="38" t="n">
        <v>24.99</v>
      </c>
      <c r="D12" s="38" t="n">
        <v>27.99</v>
      </c>
      <c r="E12" s="38" t="n">
        <v>64.98999999999999</v>
      </c>
      <c r="F12" s="38" t="n">
        <v>18.99</v>
      </c>
      <c r="G12" s="38" t="n">
        <v>84.98999999999999</v>
      </c>
      <c r="H12" s="2" t="inlineStr">
        <is>
          <t>Always above the subscription per serving — the reason to subscribe.</t>
        </is>
      </c>
    </row>
    <row r="14">
      <c r="B14" s="59" t="inlineStr">
        <is>
          <t>PRICE POSITION</t>
        </is>
      </c>
    </row>
    <row r="15">
      <c r="B15" s="47" t="inlineStr">
        <is>
          <t>Ongoing £ per serving, inc VAT</t>
        </is>
      </c>
      <c r="C15" s="58">
        <f>C9/C10</f>
        <v/>
      </c>
      <c r="D15" s="58">
        <f>D9/D10</f>
        <v/>
      </c>
      <c r="E15" s="58">
        <f>E9/E10</f>
        <v/>
      </c>
      <c r="F15" s="58">
        <f>F9/F10</f>
        <v/>
      </c>
      <c r="G15" s="58">
        <f>G9/G10</f>
        <v/>
      </c>
    </row>
    <row r="16">
      <c r="B16" s="47" t="inlineStr">
        <is>
          <t>Ongoing £ per serving, NET of VAT</t>
        </is>
      </c>
      <c r="C16" s="58">
        <f>C15/(1+'01 Inputs'!$G$11)</f>
        <v/>
      </c>
      <c r="D16" s="58">
        <f>D15/(1+'01 Inputs'!$G$11)</f>
        <v/>
      </c>
      <c r="E16" s="58">
        <f>E15/(1+'01 Inputs'!$G$11)</f>
        <v/>
      </c>
      <c r="F16" s="58">
        <f>F15/(1+'01 Inputs'!$G$11)</f>
        <v/>
      </c>
      <c r="G16" s="58">
        <f>G15/(1+'01 Inputs'!$G$11)</f>
        <v/>
      </c>
    </row>
    <row r="17" ht="39" customHeight="1">
      <c r="B17" s="4" t="inlineStr">
        <is>
          <t>Effective monthly cost to the customer</t>
        </is>
      </c>
      <c r="C17" s="44">
        <f>C9/C11</f>
        <v/>
      </c>
      <c r="D17" s="44">
        <f>D9/D11</f>
        <v/>
      </c>
      <c r="E17" s="44">
        <f>E9/E11</f>
        <v/>
      </c>
      <c r="F17" s="44">
        <f>F9/F11</f>
        <v/>
      </c>
      <c r="G17" s="44">
        <f>G9/G11</f>
        <v/>
      </c>
      <c r="H17" s="2" t="inlineStr">
        <is>
          <t>A-027: half of UK consumers spend UNDER £40/month on subscriptions IN TOTAL. Anything at or above £20/month is 50%+ of the median subscriber's entire budget.</t>
        </is>
      </c>
    </row>
    <row r="18" ht="15" customHeight="1">
      <c r="B18" s="4" t="inlineStr">
        <is>
          <t>As a share of the £40/month median total subscription budget</t>
        </is>
      </c>
      <c r="C18" s="80">
        <f>C17/40</f>
        <v/>
      </c>
      <c r="D18" s="80">
        <f>D17/40</f>
        <v/>
      </c>
      <c r="E18" s="80">
        <f>E17/40</f>
        <v/>
      </c>
      <c r="F18" s="80">
        <f>F17/40</f>
        <v/>
      </c>
      <c r="G18" s="80">
        <f>G17/40</f>
        <v/>
      </c>
      <c r="H18" s="2" t="inlineStr">
        <is>
          <t>Source: aquacard 2025 subscription spending study, cited in A-027.</t>
        </is>
      </c>
    </row>
    <row r="19" ht="26" customHeight="1">
      <c r="B19" s="4" t="inlineStr">
        <is>
          <t>Multiple of the cheapest effervescent vitamin (£0.060/serving)</t>
        </is>
      </c>
      <c r="C19" s="81">
        <f>C15/0.06</f>
        <v/>
      </c>
      <c r="D19" s="81">
        <f>D15/0.06</f>
        <v/>
      </c>
      <c r="E19" s="81">
        <f>E15/0.06</f>
        <v/>
      </c>
      <c r="F19" s="81">
        <f>F15/0.06</f>
        <v/>
      </c>
      <c r="G19" s="81">
        <f>G15/0.06</f>
        <v/>
      </c>
      <c r="H19" s="2" t="inlineStr">
        <is>
          <t>THE EFFERVESCENT LADDER. Tesco own-label effervescent vitamin C, £1.19 for 20.</t>
        </is>
      </c>
    </row>
    <row r="20">
      <c r="B20" s="4" t="inlineStr">
        <is>
          <t>vs Berocca Mind £0.666/serving</t>
        </is>
      </c>
      <c r="C20" s="80">
        <f>C15/0.666-1</f>
        <v/>
      </c>
      <c r="D20" s="80">
        <f>D15/0.666-1</f>
        <v/>
      </c>
      <c r="E20" s="80">
        <f>E15/0.666-1</f>
        <v/>
      </c>
      <c r="F20" s="80">
        <f>F15/0.666-1</f>
        <v/>
      </c>
      <c r="G20" s="80">
        <f>G15/0.666-1</f>
        <v/>
      </c>
    </row>
    <row r="21" ht="39" customHeight="1">
      <c r="B21" s="4" t="inlineStr">
        <is>
          <t>vs Waterdrop £0.749/serving (taste-and-design precedent)</t>
        </is>
      </c>
      <c r="C21" s="80">
        <f>C15/0.749-1</f>
        <v/>
      </c>
      <c r="D21" s="80">
        <f>D15/0.749-1</f>
        <v/>
      </c>
      <c r="E21" s="80">
        <f>E15/0.749-1</f>
        <v/>
      </c>
      <c r="F21" s="80">
        <f>F15/0.749-1</f>
        <v/>
      </c>
      <c r="G21" s="80">
        <f>G15/0.749-1</f>
        <v/>
      </c>
      <c r="H21" s="2" t="inlineStr">
        <is>
          <t>Waterdrop sustains £0.749 on ~1.6 mg of declared vitamins, sold purely on taste and design (A-033, A-023). It is the single most relevant precedent for a taste-led V-Drop.</t>
        </is>
      </c>
    </row>
    <row r="22">
      <c r="B22" s="4" t="inlineStr">
        <is>
          <t>vs Wild Nutrition 45+ £1.013/serving (the user's named reference)</t>
        </is>
      </c>
      <c r="C22" s="80">
        <f>C15/1.013-1</f>
        <v/>
      </c>
      <c r="D22" s="80">
        <f>D15/1.013-1</f>
        <v/>
      </c>
      <c r="E22" s="80">
        <f>E15/1.013-1</f>
        <v/>
      </c>
      <c r="F22" s="80">
        <f>F15/1.013-1</f>
        <v/>
      </c>
      <c r="G22" s="80">
        <f>G15/1.013-1</f>
        <v/>
      </c>
    </row>
    <row r="23">
      <c r="B23" s="4" t="inlineStr">
        <is>
          <t>vs AG1 subscription £2.633/serving</t>
        </is>
      </c>
      <c r="C23" s="80">
        <f>C15/2.633-1</f>
        <v/>
      </c>
      <c r="D23" s="80">
        <f>D15/2.633-1</f>
        <v/>
      </c>
      <c r="E23" s="80">
        <f>E15/2.633-1</f>
        <v/>
      </c>
      <c r="F23" s="80">
        <f>F15/2.633-1</f>
        <v/>
      </c>
      <c r="G23" s="80">
        <f>G15/2.633-1</f>
        <v/>
      </c>
    </row>
    <row r="25">
      <c r="B25" s="59" t="inlineStr">
        <is>
          <t>ECONOMICS (base-case inputs)</t>
        </is>
      </c>
    </row>
    <row r="26">
      <c r="B26" s="4" t="inlineStr">
        <is>
          <t>Starter: net revenue (ex VAT)</t>
        </is>
      </c>
      <c r="C26" s="44">
        <f>(C5*'01 Inputs'!$G$90)/(1+'01 Inputs'!$G$11)</f>
        <v/>
      </c>
      <c r="D26" s="44">
        <f>(D5*'01 Inputs'!$G$90)/(1+'01 Inputs'!$G$11)</f>
        <v/>
      </c>
      <c r="E26" s="44">
        <f>(E5*'01 Inputs'!$G$90)/(1+'01 Inputs'!$G$11)</f>
        <v/>
      </c>
      <c r="F26" s="44">
        <f>(F5*'01 Inputs'!$G$90)/(1+'01 Inputs'!$G$11)</f>
        <v/>
      </c>
      <c r="G26" s="44">
        <f>(G5*'01 Inputs'!$G$90)/(1+'01 Inputs'!$G$11)</f>
        <v/>
      </c>
    </row>
    <row r="27">
      <c r="B27" s="47" t="inlineStr">
        <is>
          <t>Starter: GROSS MARGIN £</t>
        </is>
      </c>
      <c r="C27" s="48">
        <f>((C5*'01 Inputs'!$G$90)/(1+'01 Inputs'!$G$11))-(C6*CHOOSE(C8,'01 Inputs'!$G$27,'01 Inputs'!$G$28)+C6*'01 Inputs'!$G$31+'01 Inputs'!$G$32+'01 Inputs'!$G$33+C7*'01 Inputs'!$G$37)</f>
        <v/>
      </c>
      <c r="D27" s="48">
        <f>((D5*'01 Inputs'!$G$90)/(1+'01 Inputs'!$G$11))-(D6*CHOOSE(D8,'01 Inputs'!$G$27,'01 Inputs'!$G$28)+D6*'01 Inputs'!$G$31+'01 Inputs'!$G$32+'01 Inputs'!$G$33+D7*'01 Inputs'!$G$37)</f>
        <v/>
      </c>
      <c r="E27" s="48">
        <f>((E5*'01 Inputs'!$G$90)/(1+'01 Inputs'!$G$11))-(E6*CHOOSE(E8,'01 Inputs'!$G$27,'01 Inputs'!$G$28)+E6*'01 Inputs'!$G$31+'01 Inputs'!$G$32+'01 Inputs'!$G$33+E7*'01 Inputs'!$G$37)</f>
        <v/>
      </c>
      <c r="F27" s="48">
        <f>((F5*'01 Inputs'!$G$90)/(1+'01 Inputs'!$G$11))-(F6*CHOOSE(F8,'01 Inputs'!$G$27,'01 Inputs'!$G$28)+F6*'01 Inputs'!$G$31+'01 Inputs'!$G$32+'01 Inputs'!$G$33+F7*'01 Inputs'!$G$37)</f>
        <v/>
      </c>
      <c r="G27" s="48">
        <f>((G5*'01 Inputs'!$G$90)/(1+'01 Inputs'!$G$11))-(G6*CHOOSE(G8,'01 Inputs'!$G$27,'01 Inputs'!$G$28)+G6*'01 Inputs'!$G$31+'01 Inputs'!$G$32+'01 Inputs'!$G$33+G7*'01 Inputs'!$G$37)</f>
        <v/>
      </c>
    </row>
    <row r="28">
      <c r="B28" s="4" t="inlineStr">
        <is>
          <t>Starter: gross margin %</t>
        </is>
      </c>
      <c r="C28" s="66">
        <f>C27/C26</f>
        <v/>
      </c>
      <c r="D28" s="66">
        <f>D27/D26</f>
        <v/>
      </c>
      <c r="E28" s="66">
        <f>E27/E26</f>
        <v/>
      </c>
      <c r="F28" s="66">
        <f>F27/F26</f>
        <v/>
      </c>
      <c r="G28" s="66">
        <f>G27/G26</f>
        <v/>
      </c>
    </row>
    <row r="29">
      <c r="B29" s="47" t="inlineStr">
        <is>
          <t>Starter: CONTRIBUTION £</t>
        </is>
      </c>
      <c r="C29" s="49">
        <f>((C5*'01 Inputs'!$G$90)/(1+'01 Inputs'!$G$11))-(C6*CHOOSE(C8,'01 Inputs'!$G$27,'01 Inputs'!$G$28)+C6*'01 Inputs'!$G$31+'01 Inputs'!$G$32+'01 Inputs'!$G$33+C7*'01 Inputs'!$G$37)-('01 Inputs'!$G$39+(IF((C6*'01 Inputs'!$G$14+C6*'01 Inputs'!$G$40+'01 Inputs'!$G$41+C7*'01 Inputs'!$G$42)&lt;=100,'01 Inputs'!$G$43,IF((C6*'01 Inputs'!$G$14+C6*'01 Inputs'!$G$40+'01 Inputs'!$G$41+C7*'01 Inputs'!$G$42)&lt;=250,'01 Inputs'!$G$44,IF((C6*'01 Inputs'!$G$14+C6*'01 Inputs'!$G$40+'01 Inputs'!$G$41+C7*'01 Inputs'!$G$42)&lt;=500,'01 Inputs'!$G$45,IF((C6*'01 Inputs'!$G$14+C6*'01 Inputs'!$G$40+'01 Inputs'!$G$41+C7*'01 Inputs'!$G$42)&lt;=750,'01 Inputs'!$G$46,'01 Inputs'!$G$47))))*'01 Inputs'!$G$48)+((C5*'01 Inputs'!$G$90)*'01 Inputs'!$G$50+'01 Inputs'!$G$51)+'01 Inputs'!$G$53+('01 Inputs'!$G$52*((C6*CHOOSE(C8,'01 Inputs'!$G$27,'01 Inputs'!$G$28)+C6*'01 Inputs'!$G$31+'01 Inputs'!$G$32+'01 Inputs'!$G$33+C7*'01 Inputs'!$G$37)+'01 Inputs'!$G$39+(IF((C6*'01 Inputs'!$G$14+C6*'01 Inputs'!$G$40+'01 Inputs'!$G$41+C7*'01 Inputs'!$G$42)&lt;=100,'01 Inputs'!$G$43,IF((C6*'01 Inputs'!$G$14+C6*'01 Inputs'!$G$40+'01 Inputs'!$G$41+C7*'01 Inputs'!$G$42)&lt;=250,'01 Inputs'!$G$44,IF((C6*'01 Inputs'!$G$14+C6*'01 Inputs'!$G$40+'01 Inputs'!$G$41+C7*'01 Inputs'!$G$42)&lt;=500,'01 Inputs'!$G$45,IF((C6*'01 Inputs'!$G$14+C6*'01 Inputs'!$G$40+'01 Inputs'!$G$41+C7*'01 Inputs'!$G$42)&lt;=750,'01 Inputs'!$G$46,'01 Inputs'!$G$47))))*'01 Inputs'!$G$48)))+('01 Inputs'!$G$54*(((C5*'01 Inputs'!$G$90)/(1+'01 Inputs'!$G$11))+(C6*CHOOSE(C8,'01 Inputs'!$G$27,'01 Inputs'!$G$28)+C6*'01 Inputs'!$G$31+'01 Inputs'!$G$32+'01 Inputs'!$G$33+C7*'01 Inputs'!$G$37)+(IF((C6*'01 Inputs'!$G$14+C6*'01 Inputs'!$G$40+'01 Inputs'!$G$41+C7*'01 Inputs'!$G$42)&lt;=100,'01 Inputs'!$G$43,IF((C6*'01 Inputs'!$G$14+C6*'01 Inputs'!$G$40+'01 Inputs'!$G$41+C7*'01 Inputs'!$G$42)&lt;=250,'01 Inputs'!$G$44,IF((C6*'01 Inputs'!$G$14+C6*'01 Inputs'!$G$40+'01 Inputs'!$G$41+C7*'01 Inputs'!$G$42)&lt;=500,'01 Inputs'!$G$45,IF((C6*'01 Inputs'!$G$14+C6*'01 Inputs'!$G$40+'01 Inputs'!$G$41+C7*'01 Inputs'!$G$42)&lt;=750,'01 Inputs'!$G$46,'01 Inputs'!$G$47))))*'01 Inputs'!$G$48))))</f>
        <v/>
      </c>
      <c r="D29" s="49">
        <f>((D5*'01 Inputs'!$G$90)/(1+'01 Inputs'!$G$11))-(D6*CHOOSE(D8,'01 Inputs'!$G$27,'01 Inputs'!$G$28)+D6*'01 Inputs'!$G$31+'01 Inputs'!$G$32+'01 Inputs'!$G$33+D7*'01 Inputs'!$G$37)-('01 Inputs'!$G$39+(IF((D6*'01 Inputs'!$G$14+D6*'01 Inputs'!$G$40+'01 Inputs'!$G$41+D7*'01 Inputs'!$G$42)&lt;=100,'01 Inputs'!$G$43,IF((D6*'01 Inputs'!$G$14+D6*'01 Inputs'!$G$40+'01 Inputs'!$G$41+D7*'01 Inputs'!$G$42)&lt;=250,'01 Inputs'!$G$44,IF((D6*'01 Inputs'!$G$14+D6*'01 Inputs'!$G$40+'01 Inputs'!$G$41+D7*'01 Inputs'!$G$42)&lt;=500,'01 Inputs'!$G$45,IF((D6*'01 Inputs'!$G$14+D6*'01 Inputs'!$G$40+'01 Inputs'!$G$41+D7*'01 Inputs'!$G$42)&lt;=750,'01 Inputs'!$G$46,'01 Inputs'!$G$47))))*'01 Inputs'!$G$48)+((D5*'01 Inputs'!$G$90)*'01 Inputs'!$G$50+'01 Inputs'!$G$51)+'01 Inputs'!$G$53+('01 Inputs'!$G$52*((D6*CHOOSE(D8,'01 Inputs'!$G$27,'01 Inputs'!$G$28)+D6*'01 Inputs'!$G$31+'01 Inputs'!$G$32+'01 Inputs'!$G$33+D7*'01 Inputs'!$G$37)+'01 Inputs'!$G$39+(IF((D6*'01 Inputs'!$G$14+D6*'01 Inputs'!$G$40+'01 Inputs'!$G$41+D7*'01 Inputs'!$G$42)&lt;=100,'01 Inputs'!$G$43,IF((D6*'01 Inputs'!$G$14+D6*'01 Inputs'!$G$40+'01 Inputs'!$G$41+D7*'01 Inputs'!$G$42)&lt;=250,'01 Inputs'!$G$44,IF((D6*'01 Inputs'!$G$14+D6*'01 Inputs'!$G$40+'01 Inputs'!$G$41+D7*'01 Inputs'!$G$42)&lt;=500,'01 Inputs'!$G$45,IF((D6*'01 Inputs'!$G$14+D6*'01 Inputs'!$G$40+'01 Inputs'!$G$41+D7*'01 Inputs'!$G$42)&lt;=750,'01 Inputs'!$G$46,'01 Inputs'!$G$47))))*'01 Inputs'!$G$48)))+('01 Inputs'!$G$54*(((D5*'01 Inputs'!$G$90)/(1+'01 Inputs'!$G$11))+(D6*CHOOSE(D8,'01 Inputs'!$G$27,'01 Inputs'!$G$28)+D6*'01 Inputs'!$G$31+'01 Inputs'!$G$32+'01 Inputs'!$G$33+D7*'01 Inputs'!$G$37)+(IF((D6*'01 Inputs'!$G$14+D6*'01 Inputs'!$G$40+'01 Inputs'!$G$41+D7*'01 Inputs'!$G$42)&lt;=100,'01 Inputs'!$G$43,IF((D6*'01 Inputs'!$G$14+D6*'01 Inputs'!$G$40+'01 Inputs'!$G$41+D7*'01 Inputs'!$G$42)&lt;=250,'01 Inputs'!$G$44,IF((D6*'01 Inputs'!$G$14+D6*'01 Inputs'!$G$40+'01 Inputs'!$G$41+D7*'01 Inputs'!$G$42)&lt;=500,'01 Inputs'!$G$45,IF((D6*'01 Inputs'!$G$14+D6*'01 Inputs'!$G$40+'01 Inputs'!$G$41+D7*'01 Inputs'!$G$42)&lt;=750,'01 Inputs'!$G$46,'01 Inputs'!$G$47))))*'01 Inputs'!$G$48))))</f>
        <v/>
      </c>
      <c r="E29" s="49">
        <f>((E5*'01 Inputs'!$G$90)/(1+'01 Inputs'!$G$11))-(E6*CHOOSE(E8,'01 Inputs'!$G$27,'01 Inputs'!$G$28)+E6*'01 Inputs'!$G$31+'01 Inputs'!$G$32+'01 Inputs'!$G$33+E7*'01 Inputs'!$G$37)-('01 Inputs'!$G$39+(IF((E6*'01 Inputs'!$G$14+E6*'01 Inputs'!$G$40+'01 Inputs'!$G$41+E7*'01 Inputs'!$G$42)&lt;=100,'01 Inputs'!$G$43,IF((E6*'01 Inputs'!$G$14+E6*'01 Inputs'!$G$40+'01 Inputs'!$G$41+E7*'01 Inputs'!$G$42)&lt;=250,'01 Inputs'!$G$44,IF((E6*'01 Inputs'!$G$14+E6*'01 Inputs'!$G$40+'01 Inputs'!$G$41+E7*'01 Inputs'!$G$42)&lt;=500,'01 Inputs'!$G$45,IF((E6*'01 Inputs'!$G$14+E6*'01 Inputs'!$G$40+'01 Inputs'!$G$41+E7*'01 Inputs'!$G$42)&lt;=750,'01 Inputs'!$G$46,'01 Inputs'!$G$47))))*'01 Inputs'!$G$48)+((E5*'01 Inputs'!$G$90)*'01 Inputs'!$G$50+'01 Inputs'!$G$51)+'01 Inputs'!$G$53+('01 Inputs'!$G$52*((E6*CHOOSE(E8,'01 Inputs'!$G$27,'01 Inputs'!$G$28)+E6*'01 Inputs'!$G$31+'01 Inputs'!$G$32+'01 Inputs'!$G$33+E7*'01 Inputs'!$G$37)+'01 Inputs'!$G$39+(IF((E6*'01 Inputs'!$G$14+E6*'01 Inputs'!$G$40+'01 Inputs'!$G$41+E7*'01 Inputs'!$G$42)&lt;=100,'01 Inputs'!$G$43,IF((E6*'01 Inputs'!$G$14+E6*'01 Inputs'!$G$40+'01 Inputs'!$G$41+E7*'01 Inputs'!$G$42)&lt;=250,'01 Inputs'!$G$44,IF((E6*'01 Inputs'!$G$14+E6*'01 Inputs'!$G$40+'01 Inputs'!$G$41+E7*'01 Inputs'!$G$42)&lt;=500,'01 Inputs'!$G$45,IF((E6*'01 Inputs'!$G$14+E6*'01 Inputs'!$G$40+'01 Inputs'!$G$41+E7*'01 Inputs'!$G$42)&lt;=750,'01 Inputs'!$G$46,'01 Inputs'!$G$47))))*'01 Inputs'!$G$48)))+('01 Inputs'!$G$54*(((E5*'01 Inputs'!$G$90)/(1+'01 Inputs'!$G$11))+(E6*CHOOSE(E8,'01 Inputs'!$G$27,'01 Inputs'!$G$28)+E6*'01 Inputs'!$G$31+'01 Inputs'!$G$32+'01 Inputs'!$G$33+E7*'01 Inputs'!$G$37)+(IF((E6*'01 Inputs'!$G$14+E6*'01 Inputs'!$G$40+'01 Inputs'!$G$41+E7*'01 Inputs'!$G$42)&lt;=100,'01 Inputs'!$G$43,IF((E6*'01 Inputs'!$G$14+E6*'01 Inputs'!$G$40+'01 Inputs'!$G$41+E7*'01 Inputs'!$G$42)&lt;=250,'01 Inputs'!$G$44,IF((E6*'01 Inputs'!$G$14+E6*'01 Inputs'!$G$40+'01 Inputs'!$G$41+E7*'01 Inputs'!$G$42)&lt;=500,'01 Inputs'!$G$45,IF((E6*'01 Inputs'!$G$14+E6*'01 Inputs'!$G$40+'01 Inputs'!$G$41+E7*'01 Inputs'!$G$42)&lt;=750,'01 Inputs'!$G$46,'01 Inputs'!$G$47))))*'01 Inputs'!$G$48))))</f>
        <v/>
      </c>
      <c r="F29" s="49">
        <f>((F5*'01 Inputs'!$G$90)/(1+'01 Inputs'!$G$11))-(F6*CHOOSE(F8,'01 Inputs'!$G$27,'01 Inputs'!$G$28)+F6*'01 Inputs'!$G$31+'01 Inputs'!$G$32+'01 Inputs'!$G$33+F7*'01 Inputs'!$G$37)-('01 Inputs'!$G$39+(IF((F6*'01 Inputs'!$G$14+F6*'01 Inputs'!$G$40+'01 Inputs'!$G$41+F7*'01 Inputs'!$G$42)&lt;=100,'01 Inputs'!$G$43,IF((F6*'01 Inputs'!$G$14+F6*'01 Inputs'!$G$40+'01 Inputs'!$G$41+F7*'01 Inputs'!$G$42)&lt;=250,'01 Inputs'!$G$44,IF((F6*'01 Inputs'!$G$14+F6*'01 Inputs'!$G$40+'01 Inputs'!$G$41+F7*'01 Inputs'!$G$42)&lt;=500,'01 Inputs'!$G$45,IF((F6*'01 Inputs'!$G$14+F6*'01 Inputs'!$G$40+'01 Inputs'!$G$41+F7*'01 Inputs'!$G$42)&lt;=750,'01 Inputs'!$G$46,'01 Inputs'!$G$47))))*'01 Inputs'!$G$48)+((F5*'01 Inputs'!$G$90)*'01 Inputs'!$G$50+'01 Inputs'!$G$51)+'01 Inputs'!$G$53+('01 Inputs'!$G$52*((F6*CHOOSE(F8,'01 Inputs'!$G$27,'01 Inputs'!$G$28)+F6*'01 Inputs'!$G$31+'01 Inputs'!$G$32+'01 Inputs'!$G$33+F7*'01 Inputs'!$G$37)+'01 Inputs'!$G$39+(IF((F6*'01 Inputs'!$G$14+F6*'01 Inputs'!$G$40+'01 Inputs'!$G$41+F7*'01 Inputs'!$G$42)&lt;=100,'01 Inputs'!$G$43,IF((F6*'01 Inputs'!$G$14+F6*'01 Inputs'!$G$40+'01 Inputs'!$G$41+F7*'01 Inputs'!$G$42)&lt;=250,'01 Inputs'!$G$44,IF((F6*'01 Inputs'!$G$14+F6*'01 Inputs'!$G$40+'01 Inputs'!$G$41+F7*'01 Inputs'!$G$42)&lt;=500,'01 Inputs'!$G$45,IF((F6*'01 Inputs'!$G$14+F6*'01 Inputs'!$G$40+'01 Inputs'!$G$41+F7*'01 Inputs'!$G$42)&lt;=750,'01 Inputs'!$G$46,'01 Inputs'!$G$47))))*'01 Inputs'!$G$48)))+('01 Inputs'!$G$54*(((F5*'01 Inputs'!$G$90)/(1+'01 Inputs'!$G$11))+(F6*CHOOSE(F8,'01 Inputs'!$G$27,'01 Inputs'!$G$28)+F6*'01 Inputs'!$G$31+'01 Inputs'!$G$32+'01 Inputs'!$G$33+F7*'01 Inputs'!$G$37)+(IF((F6*'01 Inputs'!$G$14+F6*'01 Inputs'!$G$40+'01 Inputs'!$G$41+F7*'01 Inputs'!$G$42)&lt;=100,'01 Inputs'!$G$43,IF((F6*'01 Inputs'!$G$14+F6*'01 Inputs'!$G$40+'01 Inputs'!$G$41+F7*'01 Inputs'!$G$42)&lt;=250,'01 Inputs'!$G$44,IF((F6*'01 Inputs'!$G$14+F6*'01 Inputs'!$G$40+'01 Inputs'!$G$41+F7*'01 Inputs'!$G$42)&lt;=500,'01 Inputs'!$G$45,IF((F6*'01 Inputs'!$G$14+F6*'01 Inputs'!$G$40+'01 Inputs'!$G$41+F7*'01 Inputs'!$G$42)&lt;=750,'01 Inputs'!$G$46,'01 Inputs'!$G$47))))*'01 Inputs'!$G$48))))</f>
        <v/>
      </c>
      <c r="G29" s="49">
        <f>((G5*'01 Inputs'!$G$90)/(1+'01 Inputs'!$G$11))-(G6*CHOOSE(G8,'01 Inputs'!$G$27,'01 Inputs'!$G$28)+G6*'01 Inputs'!$G$31+'01 Inputs'!$G$32+'01 Inputs'!$G$33+G7*'01 Inputs'!$G$37)-('01 Inputs'!$G$39+(IF((G6*'01 Inputs'!$G$14+G6*'01 Inputs'!$G$40+'01 Inputs'!$G$41+G7*'01 Inputs'!$G$42)&lt;=100,'01 Inputs'!$G$43,IF((G6*'01 Inputs'!$G$14+G6*'01 Inputs'!$G$40+'01 Inputs'!$G$41+G7*'01 Inputs'!$G$42)&lt;=250,'01 Inputs'!$G$44,IF((G6*'01 Inputs'!$G$14+G6*'01 Inputs'!$G$40+'01 Inputs'!$G$41+G7*'01 Inputs'!$G$42)&lt;=500,'01 Inputs'!$G$45,IF((G6*'01 Inputs'!$G$14+G6*'01 Inputs'!$G$40+'01 Inputs'!$G$41+G7*'01 Inputs'!$G$42)&lt;=750,'01 Inputs'!$G$46,'01 Inputs'!$G$47))))*'01 Inputs'!$G$48)+((G5*'01 Inputs'!$G$90)*'01 Inputs'!$G$50+'01 Inputs'!$G$51)+'01 Inputs'!$G$53+('01 Inputs'!$G$52*((G6*CHOOSE(G8,'01 Inputs'!$G$27,'01 Inputs'!$G$28)+G6*'01 Inputs'!$G$31+'01 Inputs'!$G$32+'01 Inputs'!$G$33+G7*'01 Inputs'!$G$37)+'01 Inputs'!$G$39+(IF((G6*'01 Inputs'!$G$14+G6*'01 Inputs'!$G$40+'01 Inputs'!$G$41+G7*'01 Inputs'!$G$42)&lt;=100,'01 Inputs'!$G$43,IF((G6*'01 Inputs'!$G$14+G6*'01 Inputs'!$G$40+'01 Inputs'!$G$41+G7*'01 Inputs'!$G$42)&lt;=250,'01 Inputs'!$G$44,IF((G6*'01 Inputs'!$G$14+G6*'01 Inputs'!$G$40+'01 Inputs'!$G$41+G7*'01 Inputs'!$G$42)&lt;=500,'01 Inputs'!$G$45,IF((G6*'01 Inputs'!$G$14+G6*'01 Inputs'!$G$40+'01 Inputs'!$G$41+G7*'01 Inputs'!$G$42)&lt;=750,'01 Inputs'!$G$46,'01 Inputs'!$G$47))))*'01 Inputs'!$G$48)))+('01 Inputs'!$G$54*(((G5*'01 Inputs'!$G$90)/(1+'01 Inputs'!$G$11))+(G6*CHOOSE(G8,'01 Inputs'!$G$27,'01 Inputs'!$G$28)+G6*'01 Inputs'!$G$31+'01 Inputs'!$G$32+'01 Inputs'!$G$33+G7*'01 Inputs'!$G$37)+(IF((G6*'01 Inputs'!$G$14+G6*'01 Inputs'!$G$40+'01 Inputs'!$G$41+G7*'01 Inputs'!$G$42)&lt;=100,'01 Inputs'!$G$43,IF((G6*'01 Inputs'!$G$14+G6*'01 Inputs'!$G$40+'01 Inputs'!$G$41+G7*'01 Inputs'!$G$42)&lt;=250,'01 Inputs'!$G$44,IF((G6*'01 Inputs'!$G$14+G6*'01 Inputs'!$G$40+'01 Inputs'!$G$41+G7*'01 Inputs'!$G$42)&lt;=500,'01 Inputs'!$G$45,IF((G6*'01 Inputs'!$G$14+G6*'01 Inputs'!$G$40+'01 Inputs'!$G$41+G7*'01 Inputs'!$G$42)&lt;=750,'01 Inputs'!$G$46,'01 Inputs'!$G$47))))*'01 Inputs'!$G$48))))</f>
        <v/>
      </c>
    </row>
    <row r="30">
      <c r="B30" s="4" t="inlineStr">
        <is>
          <t>Starter: contribution % of net</t>
        </is>
      </c>
      <c r="C30" s="66">
        <f>C29/C26</f>
        <v/>
      </c>
      <c r="D30" s="66">
        <f>D29/D26</f>
        <v/>
      </c>
      <c r="E30" s="66">
        <f>E29/E26</f>
        <v/>
      </c>
      <c r="F30" s="66">
        <f>F29/F26</f>
        <v/>
      </c>
      <c r="G30" s="66">
        <f>G29/G26</f>
        <v/>
      </c>
    </row>
    <row r="31">
      <c r="B31" s="4" t="inlineStr">
        <is>
          <t>Ongoing: net revenue (ex VAT)</t>
        </is>
      </c>
      <c r="C31" s="44">
        <f>(C9*'01 Inputs'!$G$90)/(1+'01 Inputs'!$G$11)</f>
        <v/>
      </c>
      <c r="D31" s="44">
        <f>(D9*'01 Inputs'!$G$90)/(1+'01 Inputs'!$G$11)</f>
        <v/>
      </c>
      <c r="E31" s="44">
        <f>(E9*'01 Inputs'!$G$90)/(1+'01 Inputs'!$G$11)</f>
        <v/>
      </c>
      <c r="F31" s="44">
        <f>(F9*'01 Inputs'!$G$90)/(1+'01 Inputs'!$G$11)</f>
        <v/>
      </c>
      <c r="G31" s="44">
        <f>(G9*'01 Inputs'!$G$90)/(1+'01 Inputs'!$G$11)</f>
        <v/>
      </c>
    </row>
    <row r="32">
      <c r="B32" s="47" t="inlineStr">
        <is>
          <t>Ongoing: GROSS MARGIN £</t>
        </is>
      </c>
      <c r="C32" s="48">
        <f>((C9*'01 Inputs'!$G$90)/(1+'01 Inputs'!$G$11))-(C10*CHOOSE(C8,'01 Inputs'!$G$27,'01 Inputs'!$G$28)+C10*'01 Inputs'!$G$31+'01 Inputs'!$G$32+'01 Inputs'!$G$33+0*'01 Inputs'!$G$37)</f>
        <v/>
      </c>
      <c r="D32" s="48">
        <f>((D9*'01 Inputs'!$G$90)/(1+'01 Inputs'!$G$11))-(D10*CHOOSE(D8,'01 Inputs'!$G$27,'01 Inputs'!$G$28)+D10*'01 Inputs'!$G$31+'01 Inputs'!$G$32+'01 Inputs'!$G$33+0*'01 Inputs'!$G$37)</f>
        <v/>
      </c>
      <c r="E32" s="48">
        <f>((E9*'01 Inputs'!$G$90)/(1+'01 Inputs'!$G$11))-(E10*CHOOSE(E8,'01 Inputs'!$G$27,'01 Inputs'!$G$28)+E10*'01 Inputs'!$G$31+'01 Inputs'!$G$32+'01 Inputs'!$G$33+0*'01 Inputs'!$G$37)</f>
        <v/>
      </c>
      <c r="F32" s="48">
        <f>((F9*'01 Inputs'!$G$90)/(1+'01 Inputs'!$G$11))-(F10*CHOOSE(F8,'01 Inputs'!$G$27,'01 Inputs'!$G$28)+F10*'01 Inputs'!$G$31+'01 Inputs'!$G$32+'01 Inputs'!$G$33+0*'01 Inputs'!$G$37)</f>
        <v/>
      </c>
      <c r="G32" s="48">
        <f>((G9*'01 Inputs'!$G$90)/(1+'01 Inputs'!$G$11))-(G10*CHOOSE(G8,'01 Inputs'!$G$27,'01 Inputs'!$G$28)+G10*'01 Inputs'!$G$31+'01 Inputs'!$G$32+'01 Inputs'!$G$33+0*'01 Inputs'!$G$37)</f>
        <v/>
      </c>
    </row>
    <row r="33">
      <c r="B33" s="47" t="inlineStr">
        <is>
          <t>Ongoing: gross margin %</t>
        </is>
      </c>
      <c r="C33" s="62">
        <f>C32/C31</f>
        <v/>
      </c>
      <c r="D33" s="62">
        <f>D32/D31</f>
        <v/>
      </c>
      <c r="E33" s="62">
        <f>E32/E31</f>
        <v/>
      </c>
      <c r="F33" s="62">
        <f>F32/F31</f>
        <v/>
      </c>
      <c r="G33" s="62">
        <f>G32/G31</f>
        <v/>
      </c>
    </row>
    <row r="34">
      <c r="B34" s="47" t="inlineStr">
        <is>
          <t>Ongoing: CONTRIBUTION £</t>
        </is>
      </c>
      <c r="C34" s="49">
        <f>((C9*'01 Inputs'!$G$90)/(1+'01 Inputs'!$G$11))-(C10*CHOOSE(C8,'01 Inputs'!$G$27,'01 Inputs'!$G$28)+C10*'01 Inputs'!$G$31+'01 Inputs'!$G$32+'01 Inputs'!$G$33+0*'01 Inputs'!$G$37)-('01 Inputs'!$G$39+(IF((C10*'01 Inputs'!$G$14+C10*'01 Inputs'!$G$40+'01 Inputs'!$G$41+0*'01 Inputs'!$G$42)&lt;=100,'01 Inputs'!$G$43,IF((C10*'01 Inputs'!$G$14+C10*'01 Inputs'!$G$40+'01 Inputs'!$G$41+0*'01 Inputs'!$G$42)&lt;=250,'01 Inputs'!$G$44,IF((C10*'01 Inputs'!$G$14+C10*'01 Inputs'!$G$40+'01 Inputs'!$G$41+0*'01 Inputs'!$G$42)&lt;=500,'01 Inputs'!$G$45,IF((C10*'01 Inputs'!$G$14+C10*'01 Inputs'!$G$40+'01 Inputs'!$G$41+0*'01 Inputs'!$G$42)&lt;=750,'01 Inputs'!$G$46,'01 Inputs'!$G$47))))*'01 Inputs'!$G$48)+((C9*'01 Inputs'!$G$90)*'01 Inputs'!$G$50+'01 Inputs'!$G$51)+'01 Inputs'!$G$53+('01 Inputs'!$G$52*((C10*CHOOSE(C8,'01 Inputs'!$G$27,'01 Inputs'!$G$28)+C10*'01 Inputs'!$G$31+'01 Inputs'!$G$32+'01 Inputs'!$G$33+0*'01 Inputs'!$G$37)+'01 Inputs'!$G$39+(IF((C10*'01 Inputs'!$G$14+C10*'01 Inputs'!$G$40+'01 Inputs'!$G$41+0*'01 Inputs'!$G$42)&lt;=100,'01 Inputs'!$G$43,IF((C10*'01 Inputs'!$G$14+C10*'01 Inputs'!$G$40+'01 Inputs'!$G$41+0*'01 Inputs'!$G$42)&lt;=250,'01 Inputs'!$G$44,IF((C10*'01 Inputs'!$G$14+C10*'01 Inputs'!$G$40+'01 Inputs'!$G$41+0*'01 Inputs'!$G$42)&lt;=500,'01 Inputs'!$G$45,IF((C10*'01 Inputs'!$G$14+C10*'01 Inputs'!$G$40+'01 Inputs'!$G$41+0*'01 Inputs'!$G$42)&lt;=750,'01 Inputs'!$G$46,'01 Inputs'!$G$47))))*'01 Inputs'!$G$48)))+('01 Inputs'!$G$54*(((C9*'01 Inputs'!$G$90)/(1+'01 Inputs'!$G$11))+(C10*CHOOSE(C8,'01 Inputs'!$G$27,'01 Inputs'!$G$28)+C10*'01 Inputs'!$G$31+'01 Inputs'!$G$32+'01 Inputs'!$G$33+0*'01 Inputs'!$G$37)+(IF((C10*'01 Inputs'!$G$14+C10*'01 Inputs'!$G$40+'01 Inputs'!$G$41+0*'01 Inputs'!$G$42)&lt;=100,'01 Inputs'!$G$43,IF((C10*'01 Inputs'!$G$14+C10*'01 Inputs'!$G$40+'01 Inputs'!$G$41+0*'01 Inputs'!$G$42)&lt;=250,'01 Inputs'!$G$44,IF((C10*'01 Inputs'!$G$14+C10*'01 Inputs'!$G$40+'01 Inputs'!$G$41+0*'01 Inputs'!$G$42)&lt;=500,'01 Inputs'!$G$45,IF((C10*'01 Inputs'!$G$14+C10*'01 Inputs'!$G$40+'01 Inputs'!$G$41+0*'01 Inputs'!$G$42)&lt;=750,'01 Inputs'!$G$46,'01 Inputs'!$G$47))))*'01 Inputs'!$G$48))))</f>
        <v/>
      </c>
      <c r="D34" s="49">
        <f>((D9*'01 Inputs'!$G$90)/(1+'01 Inputs'!$G$11))-(D10*CHOOSE(D8,'01 Inputs'!$G$27,'01 Inputs'!$G$28)+D10*'01 Inputs'!$G$31+'01 Inputs'!$G$32+'01 Inputs'!$G$33+0*'01 Inputs'!$G$37)-('01 Inputs'!$G$39+(IF((D10*'01 Inputs'!$G$14+D10*'01 Inputs'!$G$40+'01 Inputs'!$G$41+0*'01 Inputs'!$G$42)&lt;=100,'01 Inputs'!$G$43,IF((D10*'01 Inputs'!$G$14+D10*'01 Inputs'!$G$40+'01 Inputs'!$G$41+0*'01 Inputs'!$G$42)&lt;=250,'01 Inputs'!$G$44,IF((D10*'01 Inputs'!$G$14+D10*'01 Inputs'!$G$40+'01 Inputs'!$G$41+0*'01 Inputs'!$G$42)&lt;=500,'01 Inputs'!$G$45,IF((D10*'01 Inputs'!$G$14+D10*'01 Inputs'!$G$40+'01 Inputs'!$G$41+0*'01 Inputs'!$G$42)&lt;=750,'01 Inputs'!$G$46,'01 Inputs'!$G$47))))*'01 Inputs'!$G$48)+((D9*'01 Inputs'!$G$90)*'01 Inputs'!$G$50+'01 Inputs'!$G$51)+'01 Inputs'!$G$53+('01 Inputs'!$G$52*((D10*CHOOSE(D8,'01 Inputs'!$G$27,'01 Inputs'!$G$28)+D10*'01 Inputs'!$G$31+'01 Inputs'!$G$32+'01 Inputs'!$G$33+0*'01 Inputs'!$G$37)+'01 Inputs'!$G$39+(IF((D10*'01 Inputs'!$G$14+D10*'01 Inputs'!$G$40+'01 Inputs'!$G$41+0*'01 Inputs'!$G$42)&lt;=100,'01 Inputs'!$G$43,IF((D10*'01 Inputs'!$G$14+D10*'01 Inputs'!$G$40+'01 Inputs'!$G$41+0*'01 Inputs'!$G$42)&lt;=250,'01 Inputs'!$G$44,IF((D10*'01 Inputs'!$G$14+D10*'01 Inputs'!$G$40+'01 Inputs'!$G$41+0*'01 Inputs'!$G$42)&lt;=500,'01 Inputs'!$G$45,IF((D10*'01 Inputs'!$G$14+D10*'01 Inputs'!$G$40+'01 Inputs'!$G$41+0*'01 Inputs'!$G$42)&lt;=750,'01 Inputs'!$G$46,'01 Inputs'!$G$47))))*'01 Inputs'!$G$48)))+('01 Inputs'!$G$54*(((D9*'01 Inputs'!$G$90)/(1+'01 Inputs'!$G$11))+(D10*CHOOSE(D8,'01 Inputs'!$G$27,'01 Inputs'!$G$28)+D10*'01 Inputs'!$G$31+'01 Inputs'!$G$32+'01 Inputs'!$G$33+0*'01 Inputs'!$G$37)+(IF((D10*'01 Inputs'!$G$14+D10*'01 Inputs'!$G$40+'01 Inputs'!$G$41+0*'01 Inputs'!$G$42)&lt;=100,'01 Inputs'!$G$43,IF((D10*'01 Inputs'!$G$14+D10*'01 Inputs'!$G$40+'01 Inputs'!$G$41+0*'01 Inputs'!$G$42)&lt;=250,'01 Inputs'!$G$44,IF((D10*'01 Inputs'!$G$14+D10*'01 Inputs'!$G$40+'01 Inputs'!$G$41+0*'01 Inputs'!$G$42)&lt;=500,'01 Inputs'!$G$45,IF((D10*'01 Inputs'!$G$14+D10*'01 Inputs'!$G$40+'01 Inputs'!$G$41+0*'01 Inputs'!$G$42)&lt;=750,'01 Inputs'!$G$46,'01 Inputs'!$G$47))))*'01 Inputs'!$G$48))))</f>
        <v/>
      </c>
      <c r="E34" s="49">
        <f>((E9*'01 Inputs'!$G$90)/(1+'01 Inputs'!$G$11))-(E10*CHOOSE(E8,'01 Inputs'!$G$27,'01 Inputs'!$G$28)+E10*'01 Inputs'!$G$31+'01 Inputs'!$G$32+'01 Inputs'!$G$33+0*'01 Inputs'!$G$37)-('01 Inputs'!$G$39+(IF((E10*'01 Inputs'!$G$14+E10*'01 Inputs'!$G$40+'01 Inputs'!$G$41+0*'01 Inputs'!$G$42)&lt;=100,'01 Inputs'!$G$43,IF((E10*'01 Inputs'!$G$14+E10*'01 Inputs'!$G$40+'01 Inputs'!$G$41+0*'01 Inputs'!$G$42)&lt;=250,'01 Inputs'!$G$44,IF((E10*'01 Inputs'!$G$14+E10*'01 Inputs'!$G$40+'01 Inputs'!$G$41+0*'01 Inputs'!$G$42)&lt;=500,'01 Inputs'!$G$45,IF((E10*'01 Inputs'!$G$14+E10*'01 Inputs'!$G$40+'01 Inputs'!$G$41+0*'01 Inputs'!$G$42)&lt;=750,'01 Inputs'!$G$46,'01 Inputs'!$G$47))))*'01 Inputs'!$G$48)+((E9*'01 Inputs'!$G$90)*'01 Inputs'!$G$50+'01 Inputs'!$G$51)+'01 Inputs'!$G$53+('01 Inputs'!$G$52*((E10*CHOOSE(E8,'01 Inputs'!$G$27,'01 Inputs'!$G$28)+E10*'01 Inputs'!$G$31+'01 Inputs'!$G$32+'01 Inputs'!$G$33+0*'01 Inputs'!$G$37)+'01 Inputs'!$G$39+(IF((E10*'01 Inputs'!$G$14+E10*'01 Inputs'!$G$40+'01 Inputs'!$G$41+0*'01 Inputs'!$G$42)&lt;=100,'01 Inputs'!$G$43,IF((E10*'01 Inputs'!$G$14+E10*'01 Inputs'!$G$40+'01 Inputs'!$G$41+0*'01 Inputs'!$G$42)&lt;=250,'01 Inputs'!$G$44,IF((E10*'01 Inputs'!$G$14+E10*'01 Inputs'!$G$40+'01 Inputs'!$G$41+0*'01 Inputs'!$G$42)&lt;=500,'01 Inputs'!$G$45,IF((E10*'01 Inputs'!$G$14+E10*'01 Inputs'!$G$40+'01 Inputs'!$G$41+0*'01 Inputs'!$G$42)&lt;=750,'01 Inputs'!$G$46,'01 Inputs'!$G$47))))*'01 Inputs'!$G$48)))+('01 Inputs'!$G$54*(((E9*'01 Inputs'!$G$90)/(1+'01 Inputs'!$G$11))+(E10*CHOOSE(E8,'01 Inputs'!$G$27,'01 Inputs'!$G$28)+E10*'01 Inputs'!$G$31+'01 Inputs'!$G$32+'01 Inputs'!$G$33+0*'01 Inputs'!$G$37)+(IF((E10*'01 Inputs'!$G$14+E10*'01 Inputs'!$G$40+'01 Inputs'!$G$41+0*'01 Inputs'!$G$42)&lt;=100,'01 Inputs'!$G$43,IF((E10*'01 Inputs'!$G$14+E10*'01 Inputs'!$G$40+'01 Inputs'!$G$41+0*'01 Inputs'!$G$42)&lt;=250,'01 Inputs'!$G$44,IF((E10*'01 Inputs'!$G$14+E10*'01 Inputs'!$G$40+'01 Inputs'!$G$41+0*'01 Inputs'!$G$42)&lt;=500,'01 Inputs'!$G$45,IF((E10*'01 Inputs'!$G$14+E10*'01 Inputs'!$G$40+'01 Inputs'!$G$41+0*'01 Inputs'!$G$42)&lt;=750,'01 Inputs'!$G$46,'01 Inputs'!$G$47))))*'01 Inputs'!$G$48))))</f>
        <v/>
      </c>
      <c r="F34" s="49">
        <f>((F9*'01 Inputs'!$G$90)/(1+'01 Inputs'!$G$11))-(F10*CHOOSE(F8,'01 Inputs'!$G$27,'01 Inputs'!$G$28)+F10*'01 Inputs'!$G$31+'01 Inputs'!$G$32+'01 Inputs'!$G$33+0*'01 Inputs'!$G$37)-('01 Inputs'!$G$39+(IF((F10*'01 Inputs'!$G$14+F10*'01 Inputs'!$G$40+'01 Inputs'!$G$41+0*'01 Inputs'!$G$42)&lt;=100,'01 Inputs'!$G$43,IF((F10*'01 Inputs'!$G$14+F10*'01 Inputs'!$G$40+'01 Inputs'!$G$41+0*'01 Inputs'!$G$42)&lt;=250,'01 Inputs'!$G$44,IF((F10*'01 Inputs'!$G$14+F10*'01 Inputs'!$G$40+'01 Inputs'!$G$41+0*'01 Inputs'!$G$42)&lt;=500,'01 Inputs'!$G$45,IF((F10*'01 Inputs'!$G$14+F10*'01 Inputs'!$G$40+'01 Inputs'!$G$41+0*'01 Inputs'!$G$42)&lt;=750,'01 Inputs'!$G$46,'01 Inputs'!$G$47))))*'01 Inputs'!$G$48)+((F9*'01 Inputs'!$G$90)*'01 Inputs'!$G$50+'01 Inputs'!$G$51)+'01 Inputs'!$G$53+('01 Inputs'!$G$52*((F10*CHOOSE(F8,'01 Inputs'!$G$27,'01 Inputs'!$G$28)+F10*'01 Inputs'!$G$31+'01 Inputs'!$G$32+'01 Inputs'!$G$33+0*'01 Inputs'!$G$37)+'01 Inputs'!$G$39+(IF((F10*'01 Inputs'!$G$14+F10*'01 Inputs'!$G$40+'01 Inputs'!$G$41+0*'01 Inputs'!$G$42)&lt;=100,'01 Inputs'!$G$43,IF((F10*'01 Inputs'!$G$14+F10*'01 Inputs'!$G$40+'01 Inputs'!$G$41+0*'01 Inputs'!$G$42)&lt;=250,'01 Inputs'!$G$44,IF((F10*'01 Inputs'!$G$14+F10*'01 Inputs'!$G$40+'01 Inputs'!$G$41+0*'01 Inputs'!$G$42)&lt;=500,'01 Inputs'!$G$45,IF((F10*'01 Inputs'!$G$14+F10*'01 Inputs'!$G$40+'01 Inputs'!$G$41+0*'01 Inputs'!$G$42)&lt;=750,'01 Inputs'!$G$46,'01 Inputs'!$G$47))))*'01 Inputs'!$G$48)))+('01 Inputs'!$G$54*(((F9*'01 Inputs'!$G$90)/(1+'01 Inputs'!$G$11))+(F10*CHOOSE(F8,'01 Inputs'!$G$27,'01 Inputs'!$G$28)+F10*'01 Inputs'!$G$31+'01 Inputs'!$G$32+'01 Inputs'!$G$33+0*'01 Inputs'!$G$37)+(IF((F10*'01 Inputs'!$G$14+F10*'01 Inputs'!$G$40+'01 Inputs'!$G$41+0*'01 Inputs'!$G$42)&lt;=100,'01 Inputs'!$G$43,IF((F10*'01 Inputs'!$G$14+F10*'01 Inputs'!$G$40+'01 Inputs'!$G$41+0*'01 Inputs'!$G$42)&lt;=250,'01 Inputs'!$G$44,IF((F10*'01 Inputs'!$G$14+F10*'01 Inputs'!$G$40+'01 Inputs'!$G$41+0*'01 Inputs'!$G$42)&lt;=500,'01 Inputs'!$G$45,IF((F10*'01 Inputs'!$G$14+F10*'01 Inputs'!$G$40+'01 Inputs'!$G$41+0*'01 Inputs'!$G$42)&lt;=750,'01 Inputs'!$G$46,'01 Inputs'!$G$47))))*'01 Inputs'!$G$48))))</f>
        <v/>
      </c>
      <c r="G34" s="49">
        <f>((G9*'01 Inputs'!$G$90)/(1+'01 Inputs'!$G$11))-(G10*CHOOSE(G8,'01 Inputs'!$G$27,'01 Inputs'!$G$28)+G10*'01 Inputs'!$G$31+'01 Inputs'!$G$32+'01 Inputs'!$G$33+0*'01 Inputs'!$G$37)-('01 Inputs'!$G$39+(IF((G10*'01 Inputs'!$G$14+G10*'01 Inputs'!$G$40+'01 Inputs'!$G$41+0*'01 Inputs'!$G$42)&lt;=100,'01 Inputs'!$G$43,IF((G10*'01 Inputs'!$G$14+G10*'01 Inputs'!$G$40+'01 Inputs'!$G$41+0*'01 Inputs'!$G$42)&lt;=250,'01 Inputs'!$G$44,IF((G10*'01 Inputs'!$G$14+G10*'01 Inputs'!$G$40+'01 Inputs'!$G$41+0*'01 Inputs'!$G$42)&lt;=500,'01 Inputs'!$G$45,IF((G10*'01 Inputs'!$G$14+G10*'01 Inputs'!$G$40+'01 Inputs'!$G$41+0*'01 Inputs'!$G$42)&lt;=750,'01 Inputs'!$G$46,'01 Inputs'!$G$47))))*'01 Inputs'!$G$48)+((G9*'01 Inputs'!$G$90)*'01 Inputs'!$G$50+'01 Inputs'!$G$51)+'01 Inputs'!$G$53+('01 Inputs'!$G$52*((G10*CHOOSE(G8,'01 Inputs'!$G$27,'01 Inputs'!$G$28)+G10*'01 Inputs'!$G$31+'01 Inputs'!$G$32+'01 Inputs'!$G$33+0*'01 Inputs'!$G$37)+'01 Inputs'!$G$39+(IF((G10*'01 Inputs'!$G$14+G10*'01 Inputs'!$G$40+'01 Inputs'!$G$41+0*'01 Inputs'!$G$42)&lt;=100,'01 Inputs'!$G$43,IF((G10*'01 Inputs'!$G$14+G10*'01 Inputs'!$G$40+'01 Inputs'!$G$41+0*'01 Inputs'!$G$42)&lt;=250,'01 Inputs'!$G$44,IF((G10*'01 Inputs'!$G$14+G10*'01 Inputs'!$G$40+'01 Inputs'!$G$41+0*'01 Inputs'!$G$42)&lt;=500,'01 Inputs'!$G$45,IF((G10*'01 Inputs'!$G$14+G10*'01 Inputs'!$G$40+'01 Inputs'!$G$41+0*'01 Inputs'!$G$42)&lt;=750,'01 Inputs'!$G$46,'01 Inputs'!$G$47))))*'01 Inputs'!$G$48)))+('01 Inputs'!$G$54*(((G9*'01 Inputs'!$G$90)/(1+'01 Inputs'!$G$11))+(G10*CHOOSE(G8,'01 Inputs'!$G$27,'01 Inputs'!$G$28)+G10*'01 Inputs'!$G$31+'01 Inputs'!$G$32+'01 Inputs'!$G$33+0*'01 Inputs'!$G$37)+(IF((G10*'01 Inputs'!$G$14+G10*'01 Inputs'!$G$40+'01 Inputs'!$G$41+0*'01 Inputs'!$G$42)&lt;=100,'01 Inputs'!$G$43,IF((G10*'01 Inputs'!$G$14+G10*'01 Inputs'!$G$40+'01 Inputs'!$G$41+0*'01 Inputs'!$G$42)&lt;=250,'01 Inputs'!$G$44,IF((G10*'01 Inputs'!$G$14+G10*'01 Inputs'!$G$40+'01 Inputs'!$G$41+0*'01 Inputs'!$G$42)&lt;=500,'01 Inputs'!$G$45,IF((G10*'01 Inputs'!$G$14+G10*'01 Inputs'!$G$40+'01 Inputs'!$G$41+0*'01 Inputs'!$G$42)&lt;=750,'01 Inputs'!$G$46,'01 Inputs'!$G$47))))*'01 Inputs'!$G$48))))</f>
        <v/>
      </c>
    </row>
    <row r="35">
      <c r="B35" s="47" t="inlineStr">
        <is>
          <t>Ongoing: contribution % of net</t>
        </is>
      </c>
      <c r="C35" s="51">
        <f>C34/C31</f>
        <v/>
      </c>
      <c r="D35" s="51">
        <f>D34/D31</f>
        <v/>
      </c>
      <c r="E35" s="51">
        <f>E34/E31</f>
        <v/>
      </c>
      <c r="F35" s="51">
        <f>F34/F31</f>
        <v/>
      </c>
      <c r="G35" s="51">
        <f>G34/G31</f>
        <v/>
      </c>
    </row>
    <row r="36">
      <c r="B36" s="47" t="inlineStr">
        <is>
          <t>Ongoing: contribution per serving</t>
        </is>
      </c>
      <c r="C36" s="56">
        <f>C34/C10</f>
        <v/>
      </c>
      <c r="D36" s="56">
        <f>D34/D10</f>
        <v/>
      </c>
      <c r="E36" s="56">
        <f>E34/E10</f>
        <v/>
      </c>
      <c r="F36" s="56">
        <f>F34/F10</f>
        <v/>
      </c>
      <c r="G36" s="56">
        <f>G34/G10</f>
        <v/>
      </c>
    </row>
    <row r="37" ht="26" customHeight="1">
      <c r="B37" s="47" t="inlineStr">
        <is>
          <t>Ongoing: contribution per MONTH of subscription</t>
        </is>
      </c>
      <c r="C37" s="48">
        <f>C34/C11</f>
        <v/>
      </c>
      <c r="D37" s="48">
        <f>D34/D11</f>
        <v/>
      </c>
      <c r="E37" s="48">
        <f>E34/E11</f>
        <v/>
      </c>
      <c r="F37" s="48">
        <f>F34/F11</f>
        <v/>
      </c>
      <c r="G37" s="48">
        <f>G34/G11</f>
        <v/>
      </c>
      <c r="H37" s="2" t="inlineStr">
        <is>
          <t>The right comparator for CAC, because CAC is recovered in calendar time, not in shipments.</t>
        </is>
      </c>
    </row>
    <row r="39">
      <c r="B39" s="59" t="inlineStr">
        <is>
          <t>ACQUISITION AND RETENTION (base churn and base CAC)</t>
        </is>
      </c>
    </row>
    <row r="40">
      <c r="B40" s="4" t="inlineStr">
        <is>
          <t>Blended CAC</t>
        </is>
      </c>
      <c r="C40" s="44">
        <f>'01 Inputs'!$G$67</f>
        <v/>
      </c>
      <c r="D40" s="44">
        <f>'01 Inputs'!$G$67</f>
        <v/>
      </c>
      <c r="E40" s="44">
        <f>'01 Inputs'!$G$67</f>
        <v/>
      </c>
      <c r="F40" s="44">
        <f>'01 Inputs'!$G$67</f>
        <v/>
      </c>
      <c r="G40" s="44">
        <f>'01 Inputs'!$G$67</f>
        <v/>
      </c>
    </row>
    <row r="41">
      <c r="B41" s="4" t="inlineStr">
        <is>
          <t>Total monthly churn</t>
        </is>
      </c>
      <c r="C41" s="66">
        <f>'01 Inputs'!$G$72</f>
        <v/>
      </c>
      <c r="D41" s="66">
        <f>'01 Inputs'!$G$72</f>
        <v/>
      </c>
      <c r="E41" s="66">
        <f>'01 Inputs'!$G$72</f>
        <v/>
      </c>
      <c r="F41" s="66">
        <f>'01 Inputs'!$G$72</f>
        <v/>
      </c>
      <c r="G41" s="66">
        <f>'01 Inputs'!$G$72</f>
        <v/>
      </c>
    </row>
    <row r="42">
      <c r="B42" s="4" t="inlineStr">
        <is>
          <t>First-refill drop</t>
        </is>
      </c>
      <c r="C42" s="66">
        <f>'01 Inputs'!$G$70</f>
        <v/>
      </c>
      <c r="D42" s="66">
        <f>'01 Inputs'!$G$70</f>
        <v/>
      </c>
      <c r="E42" s="66">
        <f>'01 Inputs'!$G$70</f>
        <v/>
      </c>
      <c r="F42" s="66">
        <f>'01 Inputs'!$G$70</f>
        <v/>
      </c>
      <c r="G42" s="66">
        <f>'01 Inputs'!$G$70</f>
        <v/>
      </c>
    </row>
    <row r="43" ht="39" customHeight="1">
      <c r="B43" s="4" t="inlineStr">
        <is>
          <t>Churn per CADENCE PERIOD (compounded)</t>
        </is>
      </c>
      <c r="C43" s="66">
        <f>1-(1-C41)^C11</f>
        <v/>
      </c>
      <c r="D43" s="66">
        <f>1-(1-D41)^D11</f>
        <v/>
      </c>
      <c r="E43" s="66">
        <f>1-(1-E41)^E11</f>
        <v/>
      </c>
      <c r="F43" s="66">
        <f>1-(1-F41)^F11</f>
        <v/>
      </c>
      <c r="G43" s="66">
        <f>1-(1-G41)^G11</f>
        <v/>
      </c>
      <c r="H43" s="2" t="inlineStr">
        <is>
          <t>Quarterly cadence compounds monthly churn over three months BUT removes two cancellation decision points a quarter. A3 is a bet that the second effect beats the first.</t>
        </is>
      </c>
    </row>
    <row r="44">
      <c r="B44" s="4" t="inlineStr">
        <is>
          <t>Retained periods in 12 months</t>
        </is>
      </c>
      <c r="C44" s="41">
        <f>(1-C42)*(1-(1-C43)^(12/C11))/C43</f>
        <v/>
      </c>
      <c r="D44" s="41">
        <f>(1-D42)*(1-(1-D43)^(12/D11))/D43</f>
        <v/>
      </c>
      <c r="E44" s="41">
        <f>(1-E42)*(1-(1-E43)^(12/E11))/E43</f>
        <v/>
      </c>
      <c r="F44" s="41">
        <f>(1-F42)*(1-(1-F43)^(12/F11))/F43</f>
        <v/>
      </c>
      <c r="G44" s="41">
        <f>(1-G42)*(1-(1-G43)^(12/G11))/G43</f>
        <v/>
      </c>
    </row>
    <row r="45">
      <c r="B45" s="4" t="inlineStr">
        <is>
          <t>Retained periods in 24 months</t>
        </is>
      </c>
      <c r="C45" s="41">
        <f>(1-C42)*(1-(1-C43)^(24/C11))/C43</f>
        <v/>
      </c>
      <c r="D45" s="41">
        <f>(1-D42)*(1-(1-D43)^(24/D11))/D43</f>
        <v/>
      </c>
      <c r="E45" s="41">
        <f>(1-E42)*(1-(1-E43)^(24/E11))/E43</f>
        <v/>
      </c>
      <c r="F45" s="41">
        <f>(1-F42)*(1-(1-F43)^(24/F11))/F43</f>
        <v/>
      </c>
      <c r="G45" s="41">
        <f>(1-G42)*(1-(1-G43)^(24/G11))/G43</f>
        <v/>
      </c>
    </row>
    <row r="46">
      <c r="B46" s="47" t="inlineStr">
        <is>
          <t>LTV 12 months (CONTRIBUTION basis)</t>
        </is>
      </c>
      <c r="C46" s="49">
        <f>C29+C44*C34</f>
        <v/>
      </c>
      <c r="D46" s="49">
        <f>D29+D44*D34</f>
        <v/>
      </c>
      <c r="E46" s="49">
        <f>E29+E44*E34</f>
        <v/>
      </c>
      <c r="F46" s="49">
        <f>F29+F44*F34</f>
        <v/>
      </c>
      <c r="G46" s="49">
        <f>G29+G44*G34</f>
        <v/>
      </c>
    </row>
    <row r="47">
      <c r="B47" s="47" t="inlineStr">
        <is>
          <t>LTV 24 months (CONTRIBUTION basis)</t>
        </is>
      </c>
      <c r="C47" s="49">
        <f>C29+C45*C34</f>
        <v/>
      </c>
      <c r="D47" s="49">
        <f>D29+D45*D34</f>
        <v/>
      </c>
      <c r="E47" s="49">
        <f>E29+E45*E34</f>
        <v/>
      </c>
      <c r="F47" s="49">
        <f>F29+F45*F34</f>
        <v/>
      </c>
      <c r="G47" s="49">
        <f>G29+G45*G34</f>
        <v/>
      </c>
    </row>
    <row r="48">
      <c r="B48" s="47" t="inlineStr">
        <is>
          <t>LTV:CAC — 12 months</t>
        </is>
      </c>
      <c r="C48" s="70">
        <f>C46/C40</f>
        <v/>
      </c>
      <c r="D48" s="70">
        <f>D46/D40</f>
        <v/>
      </c>
      <c r="E48" s="70">
        <f>E46/E40</f>
        <v/>
      </c>
      <c r="F48" s="70">
        <f>F46/F40</f>
        <v/>
      </c>
      <c r="G48" s="70">
        <f>G46/G40</f>
        <v/>
      </c>
    </row>
    <row r="49">
      <c r="B49" s="47" t="inlineStr">
        <is>
          <t>LTV:CAC — 24 months</t>
        </is>
      </c>
      <c r="C49" s="70">
        <f>C47/C40</f>
        <v/>
      </c>
      <c r="D49" s="70">
        <f>D47/D40</f>
        <v/>
      </c>
      <c r="E49" s="70">
        <f>E47/E40</f>
        <v/>
      </c>
      <c r="F49" s="70">
        <f>F47/F40</f>
        <v/>
      </c>
      <c r="G49" s="70">
        <f>G47/G40</f>
        <v/>
      </c>
    </row>
    <row r="50">
      <c r="B50" s="47" t="inlineStr">
        <is>
          <t>CAC payback (MONTHS)</t>
        </is>
      </c>
      <c r="C50" s="72">
        <f>IF(C29&gt;=C40,0,IF(C29+C34*(1-C42)/C43&lt;=C40,"never",C11*LN(1-(C40-C29)*C43/(C34*(1-C42)))/LN(1-C43)))</f>
        <v/>
      </c>
      <c r="D50" s="72">
        <f>IF(D29&gt;=D40,0,IF(D29+D34*(1-D42)/D43&lt;=D40,"never",D11*LN(1-(D40-D29)*D43/(D34*(1-D42)))/LN(1-D43)))</f>
        <v/>
      </c>
      <c r="E50" s="72">
        <f>IF(E29&gt;=E40,0,IF(E29+E34*(1-E42)/E43&lt;=E40,"never",E11*LN(1-(E40-E29)*E43/(E34*(1-E42)))/LN(1-E43)))</f>
        <v/>
      </c>
      <c r="F50" s="72">
        <f>IF(F29&gt;=F40,0,IF(F29+F34*(1-F42)/F43&lt;=F40,"never",F11*LN(1-(F40-F29)*F43/(F34*(1-F42)))/LN(1-F43)))</f>
        <v/>
      </c>
      <c r="G50" s="72">
        <f>IF(G29&gt;=G40,0,IF(G29+G34*(1-G42)/G43&lt;=G40,"never",G11*LN(1-(G40-G29)*G43/(G34*(1-G42)))/LN(1-G43)))</f>
        <v/>
      </c>
    </row>
    <row r="51">
      <c r="B51" s="47" t="inlineStr">
        <is>
          <t>Year-1 contribution per customer AFTER CAC</t>
        </is>
      </c>
      <c r="C51" s="48">
        <f>C46-C40</f>
        <v/>
      </c>
      <c r="D51" s="48">
        <f>D46-D40</f>
        <v/>
      </c>
      <c r="E51" s="48">
        <f>E46-E40</f>
        <v/>
      </c>
      <c r="F51" s="48">
        <f>F46-F40</f>
        <v/>
      </c>
      <c r="G51" s="48">
        <f>G46-G40</f>
        <v/>
      </c>
    </row>
    <row r="52" ht="78" customHeight="1">
      <c r="B52" s="47" t="inlineStr">
        <is>
          <t>MAXIMUM LIFETIME CONTRIBUTION (infinite horizon — the ceiling)</t>
        </is>
      </c>
      <c r="C52" s="49">
        <f>C29+C34*(1-C42)/C43</f>
        <v/>
      </c>
      <c r="D52" s="49">
        <f>D29+D34*(1-D42)/D43</f>
        <v/>
      </c>
      <c r="E52" s="49">
        <f>E29+E34*(1-E42)/E43</f>
        <v/>
      </c>
      <c r="F52" s="49">
        <f>F29+F34*(1-F42)/F43</f>
        <v/>
      </c>
      <c r="G52" s="49">
        <f>G29+G34*(1-G42)/G43</f>
        <v/>
      </c>
      <c r="H52" s="2" t="inlineStr">
        <is>
          <t>THE MOST DECISIVE NUMBER IN THE WORKBOOK. At a given churn rate a subscriber has a finite expected lifetime, so there is a CEILING on what any customer can ever be worth — no marketing patience, no retention email and no 24-month horizon gets past it. If this row is not comfortably above CAC, the business does not work at any horizon, and the answer is churn or price, never 'wait longer'.</t>
        </is>
      </c>
    </row>
    <row r="53">
      <c r="B53" s="47" t="inlineStr">
        <is>
          <t>MAX LTV:CAC (infinite horizon)</t>
        </is>
      </c>
      <c r="C53" s="70">
        <f>C52/C40</f>
        <v/>
      </c>
      <c r="D53" s="70">
        <f>D52/D40</f>
        <v/>
      </c>
      <c r="E53" s="70">
        <f>E52/E40</f>
        <v/>
      </c>
      <c r="F53" s="70">
        <f>F52/F40</f>
        <v/>
      </c>
      <c r="G53" s="70">
        <f>G52/G40</f>
        <v/>
      </c>
    </row>
    <row r="55">
      <c r="B55" s="59" t="inlineStr">
        <is>
          <t>VERDICT AND RISK</t>
        </is>
      </c>
    </row>
    <row r="56">
      <c r="B56" s="47" t="inlineStr">
        <is>
          <t>Passes a 3x 12-month LTV:CAC test?</t>
        </is>
      </c>
      <c r="C56" s="3">
        <f>IF(C48&gt;=3,"YES",IF(C48&gt;=1,"MARGINAL","NO"))</f>
        <v/>
      </c>
      <c r="D56" s="3">
        <f>IF(D48&gt;=3,"YES",IF(D48&gt;=1,"MARGINAL","NO"))</f>
        <v/>
      </c>
      <c r="E56" s="3">
        <f>IF(E48&gt;=3,"YES",IF(E48&gt;=1,"MARGINAL","NO"))</f>
        <v/>
      </c>
      <c r="F56" s="3">
        <f>IF(F48&gt;=3,"YES",IF(F48&gt;=1,"MARGINAL","NO"))</f>
        <v/>
      </c>
      <c r="G56" s="3">
        <f>IF(G48&gt;=3,"YES",IF(G48&gt;=1,"MARGINAL","NO"))</f>
        <v/>
      </c>
    </row>
    <row r="57">
      <c r="B57" s="47" t="inlineStr">
        <is>
          <t>Passes a 12-month payback test?</t>
        </is>
      </c>
      <c r="C57" s="3">
        <f>IF(ISNUMBER(C50),IF(C50&lt;=12,"YES","NO — "&amp;TEXT(C50,"0.0")&amp;" months"),"NO — never")</f>
        <v/>
      </c>
      <c r="D57" s="3">
        <f>IF(ISNUMBER(D50),IF(D50&lt;=12,"YES","NO — "&amp;TEXT(D50,"0.0")&amp;" months"),"NO — never")</f>
        <v/>
      </c>
      <c r="E57" s="3">
        <f>IF(ISNUMBER(E50),IF(E50&lt;=12,"YES","NO — "&amp;TEXT(E50,"0.0")&amp;" months"),"NO — never")</f>
        <v/>
      </c>
      <c r="F57" s="3">
        <f>IF(ISNUMBER(F50),IF(F50&lt;=12,"YES","NO — "&amp;TEXT(F50,"0.0")&amp;" months"),"NO — never")</f>
        <v/>
      </c>
      <c r="G57" s="3">
        <f>IF(ISNUMBER(G50),IF(G50&lt;=12,"YES","NO — "&amp;TEXT(G50,"0.0")&amp;" months"),"NO — never")</f>
        <v/>
      </c>
    </row>
    <row r="58">
      <c r="B58" s="47" t="inlineStr">
        <is>
          <t>Within the A-027 affordability ceiling (&lt;= £20/month)?</t>
        </is>
      </c>
      <c r="C58" s="3">
        <f>IF(C17&lt;=20,"YES","NO - "&amp;TEXT(C17,"£0.00")&amp;"/month")</f>
        <v/>
      </c>
      <c r="D58" s="3">
        <f>IF(D17&lt;=20,"YES","NO - "&amp;TEXT(D17,"£0.00")&amp;"/month")</f>
        <v/>
      </c>
      <c r="E58" s="3">
        <f>IF(E17&lt;=20,"YES","NO - "&amp;TEXT(E17,"£0.00")&amp;"/month")</f>
        <v/>
      </c>
      <c r="F58" s="3">
        <f>IF(F17&lt;=20,"YES","NO - "&amp;TEXT(F17,"£0.00")&amp;"/month")</f>
        <v/>
      </c>
      <c r="G58" s="3">
        <f>IF(G17&lt;=20,"YES","NO - "&amp;TEXT(G17,"£0.00")&amp;"/month")</f>
        <v/>
      </c>
    </row>
    <row r="59" ht="39" customHeight="1">
      <c r="B59" s="47" t="inlineStr">
        <is>
          <t>Does the CEILING clear CAC by 3x?</t>
        </is>
      </c>
      <c r="C59" s="3">
        <f>IF(C53&gt;=3,"YES",IF(C53&gt;=1,"MARGINAL - "&amp;TEXT(C53,"0.00")&amp;"x","NO - "&amp;TEXT(C53,"0.00")&amp;"x"))</f>
        <v/>
      </c>
      <c r="D59" s="3">
        <f>IF(D53&gt;=3,"YES",IF(D53&gt;=1,"MARGINAL - "&amp;TEXT(D53,"0.00")&amp;"x","NO - "&amp;TEXT(D53,"0.00")&amp;"x"))</f>
        <v/>
      </c>
      <c r="E59" s="3">
        <f>IF(E53&gt;=3,"YES",IF(E53&gt;=1,"MARGINAL - "&amp;TEXT(E53,"0.00")&amp;"x","NO - "&amp;TEXT(E53,"0.00")&amp;"x"))</f>
        <v/>
      </c>
      <c r="F59" s="3">
        <f>IF(F53&gt;=3,"YES",IF(F53&gt;=1,"MARGINAL - "&amp;TEXT(F53,"0.00")&amp;"x","NO - "&amp;TEXT(F53,"0.00")&amp;"x"))</f>
        <v/>
      </c>
      <c r="G59" s="3">
        <f>IF(G53&gt;=3,"YES",IF(G53&gt;=1,"MARGINAL - "&amp;TEXT(G53,"0.00")&amp;"x","NO - "&amp;TEXT(G53,"0.00")&amp;"x"))</f>
        <v/>
      </c>
      <c r="H59" s="2" t="inlineStr">
        <is>
          <t>Applied to the infinite-horizon ceiling, not to a 12-month window. This is the fair version of the 3x test for a subscription business — and it is the one V-Drop still fails at base-case churn.</t>
        </is>
      </c>
    </row>
    <row r="60" ht="150" customHeight="1">
      <c r="B60" s="4" t="inlineStr">
        <is>
          <t>Principal risk</t>
        </is>
      </c>
      <c r="C60" s="82" t="inlineStr">
        <is>
          <t>RISK: bundles unproven hardware (A-025) into the entry price at the exact moment of highest friction, and the CNC tooling amortisation lands on the first, smallest cohort. £19.99/month is 50% of the median UK subscriber's ENTIRE monthly subscription budget (A-027). Upside: highest month-0 cash, so the shortest payback of the monthly options.</t>
        </is>
      </c>
      <c r="D60" s="82" t="inlineStr">
        <is>
          <t>RISK: the £22.99 ongoing price is ABOVE the A-027 comfort ceiling and above Waterdrop, Berocca Mind and Wellwoman Max per serving — it needs the taste to actually be better, not just claimed to be. Upside: no hardware capital, no tooling amortisation, lowest entry friction, and the intro discount is a cheaper acquisition subsidy than a £10-£20 case. The case becomes a margin-positive accessory instead of a cost.</t>
        </is>
      </c>
      <c r="E60" s="82" t="inlineStr">
        <is>
          <t>RISK: highest cash ask at entry (£34.99 then £54.99 ninety days later) so conversion will be materially lower, and a 90-tablet pack is 315-405 g, which moves it into the 251-500 g postal band. Upside: three months of cash pulled forward, two fewer fulfilment and payment events per quarter, and — the real prize — a third as many cancellation decision points. On these inputs it is the only architecture that comfortably clears both tests.</t>
        </is>
      </c>
      <c r="F60" s="82" t="inlineStr">
        <is>
          <t>RISK: fails on arithmetic. At £15.99 for 30 tablets the contribution per month is too thin to recover a health-and-wellness CAC before the customer churns, and there is no premium available to fund the taste system that is supposed to be the differentiator. Included deliberately to show that 'price it cheaper' is not an available answer under a £40-£95 CAC.</t>
        </is>
      </c>
      <c r="G60" s="82" t="inlineStr">
        <is>
          <t>RISK: £25.00/month is 62% of the median UK subscriber's ENTIRE monthly subscription budget (A-027), and a £74.99 quarterly charge is a large, visible, memorable debit — exactly the kind the DMCC reminder notices will draw attention to twice a year. It also asks the customer to commit before the taste has been proved to them, which is why the £19.99 first month exists. Upside: it is the only architecture here that combines all four levers at once — no hardware cost at entry, a third as many cancellation decision points, a price that can actually fund branded source forms, and a per-serving price (£0.833) that sits below Wild Nutrition and far below AG1 while clearing the contribution the CAC requires.</t>
        </is>
      </c>
      <c r="H60" s="2" t="inlineStr">
        <is>
          <t>OPINION, grounded in the assumptions register.</t>
        </is>
      </c>
    </row>
    <row r="63">
      <c r="B63" s="59" t="inlineStr">
        <is>
          <t>PRICE FLOOR — the minimum monthly RRP inc VAT that delivers a target CONTRIBUTION margin, by actives grade</t>
        </is>
      </c>
    </row>
    <row r="64" ht="40" customHeight="1">
      <c r="A64" s="34" t="inlineStr"/>
      <c r="B64" s="34" t="inlineStr">
        <is>
          <t>Target contribution margin (% of net revenue)</t>
        </is>
      </c>
      <c r="C64" s="34" t="inlineStr">
        <is>
          <t>COMMODITY forms:
required RRP inc VAT</t>
        </is>
      </c>
      <c r="D64" s="34" t="inlineStr">
        <is>
          <t>COMMODITY forms:
£ per serving</t>
        </is>
      </c>
      <c r="E64" s="34" t="inlineStr">
        <is>
          <t>PATENTED forms:
required RRP inc VAT</t>
        </is>
      </c>
      <c r="F64" s="34" t="inlineStr">
        <is>
          <t>PATENTED forms:
£ per serving</t>
        </is>
      </c>
      <c r="G64" s="34" t="inlineStr"/>
      <c r="H64" s="34" t="inlineStr">
        <is>
          <t>Comment</t>
        </is>
      </c>
    </row>
    <row r="65">
      <c r="B65" s="83" t="n">
        <v>0.5</v>
      </c>
      <c r="C65" s="48">
        <f>IF((1-(1+'01 Inputs'!$G$11)*'01 Inputs'!$G$50-'01 Inputs'!$G$54-$B$65)&lt;=0,"impossible",(('01 Inputs'!$G$15*'01 Inputs'!$G$27+'01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Inputs'!$G$54-$B$65)*(1+'01 Inputs'!$G$11)/'01 Inputs'!$G$90)</f>
        <v/>
      </c>
      <c r="D65" s="58">
        <f>C65/'01 Inputs'!$G$15</f>
        <v/>
      </c>
      <c r="E65" s="48">
        <f>IF((1-(1+'01 Inputs'!$G$11)*'01 Inputs'!$G$50-'01 Inputs'!$G$54-$B$65)&lt;=0,"impossible",(('01 Inputs'!$G$15*'01 Inputs'!$G$28+'01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Inputs'!$G$54-$B$65)*(1+'01 Inputs'!$G$11)/'01 Inputs'!$G$90)</f>
        <v/>
      </c>
      <c r="F65" s="58">
        <f>E65/'01 Inputs'!$G$15</f>
        <v/>
      </c>
    </row>
    <row r="66">
      <c r="B66" s="83" t="n">
        <v>0.6</v>
      </c>
      <c r="C66" s="48">
        <f>IF((1-(1+'01 Inputs'!$G$11)*'01 Inputs'!$G$50-'01 Inputs'!$G$54-$B$66)&lt;=0,"impossible",(('01 Inputs'!$G$15*'01 Inputs'!$G$27+'01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Inputs'!$G$54-$B$66)*(1+'01 Inputs'!$G$11)/'01 Inputs'!$G$90)</f>
        <v/>
      </c>
      <c r="D66" s="58">
        <f>C66/'01 Inputs'!$G$15</f>
        <v/>
      </c>
      <c r="E66" s="48">
        <f>IF((1-(1+'01 Inputs'!$G$11)*'01 Inputs'!$G$50-'01 Inputs'!$G$54-$B$66)&lt;=0,"impossible",(('01 Inputs'!$G$15*'01 Inputs'!$G$28+'01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Inputs'!$G$54-$B$66)*(1+'01 Inputs'!$G$11)/'01 Inputs'!$G$90)</f>
        <v/>
      </c>
      <c r="F66" s="58">
        <f>E66/'01 Inputs'!$G$15</f>
        <v/>
      </c>
    </row>
    <row r="67">
      <c r="B67" s="83" t="n">
        <v>0.65</v>
      </c>
      <c r="C67" s="48">
        <f>IF((1-(1+'01 Inputs'!$G$11)*'01 Inputs'!$G$50-'01 Inputs'!$G$54-$B$67)&lt;=0,"impossible",(('01 Inputs'!$G$15*'01 Inputs'!$G$27+'01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Inputs'!$G$54-$B$67)*(1+'01 Inputs'!$G$11)/'01 Inputs'!$G$90)</f>
        <v/>
      </c>
      <c r="D67" s="58">
        <f>C67/'01 Inputs'!$G$15</f>
        <v/>
      </c>
      <c r="E67" s="48">
        <f>IF((1-(1+'01 Inputs'!$G$11)*'01 Inputs'!$G$50-'01 Inputs'!$G$54-$B$67)&lt;=0,"impossible",(('01 Inputs'!$G$15*'01 Inputs'!$G$28+'01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Inputs'!$G$54-$B$67)*(1+'01 Inputs'!$G$11)/'01 Inputs'!$G$90)</f>
        <v/>
      </c>
      <c r="F67" s="58">
        <f>E67/'01 Inputs'!$G$15</f>
        <v/>
      </c>
    </row>
    <row r="68">
      <c r="B68" s="83" t="n">
        <v>0.7</v>
      </c>
      <c r="C68" s="48">
        <f>IF((1-(1+'01 Inputs'!$G$11)*'01 Inputs'!$G$50-'01 Inputs'!$G$54-$B$68)&lt;=0,"impossible",(('01 Inputs'!$G$15*'01 Inputs'!$G$27+'01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Inputs'!$G$54-$B$68)*(1+'01 Inputs'!$G$11)/'01 Inputs'!$G$90)</f>
        <v/>
      </c>
      <c r="D68" s="58">
        <f>C68/'01 Inputs'!$G$15</f>
        <v/>
      </c>
      <c r="E68" s="48">
        <f>IF((1-(1+'01 Inputs'!$G$11)*'01 Inputs'!$G$50-'01 Inputs'!$G$54-$B$68)&lt;=0,"impossible",(('01 Inputs'!$G$15*'01 Inputs'!$G$28+'01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Inputs'!$G$54-$B$68)*(1+'01 Inputs'!$G$11)/'01 Inputs'!$G$90)</f>
        <v/>
      </c>
      <c r="F68" s="58">
        <f>E68/'01 Inputs'!$G$15</f>
        <v/>
      </c>
    </row>
    <row r="69">
      <c r="B69" s="83" t="n">
        <v>0.75</v>
      </c>
      <c r="C69" s="48">
        <f>IF((1-(1+'01 Inputs'!$G$11)*'01 Inputs'!$G$50-'01 Inputs'!$G$54-$B$69)&lt;=0,"impossible",(('01 Inputs'!$G$15*'01 Inputs'!$G$27+'01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Inputs'!$G$54-$B$69)*(1+'01 Inputs'!$G$11)/'01 Inputs'!$G$90)</f>
        <v/>
      </c>
      <c r="D69" s="58">
        <f>C69/'01 Inputs'!$G$15</f>
        <v/>
      </c>
      <c r="E69" s="48">
        <f>IF((1-(1+'01 Inputs'!$G$11)*'01 Inputs'!$G$50-'01 Inputs'!$G$54-$B$69)&lt;=0,"impossible",(('01 Inputs'!$G$15*'01 Inputs'!$G$28+'01 Inputs'!$G$15*'01 Inputs'!$G$31+'01 Inputs'!$G$32+'01 Inputs'!$G$33)*(1+'01 Inputs'!$G$52+'01 Inputs'!$G$54)+'01 Inputs'!$G$39*(1+'01 Inputs'!$G$52)+(IF(('01 Inputs'!$G$15*'01 Inputs'!$G$14+'01 Inputs'!$G$15*'01 Inputs'!$G$40+'01 Inputs'!$G$41)&lt;=100,'01 Inputs'!$G$43,IF(('01 Inputs'!$G$15*'01 Inputs'!$G$14+'01 Inputs'!$G$15*'01 Inputs'!$G$40+'01 Inputs'!$G$41)&lt;=250,'01 Inputs'!$G$44,IF(('01 Inputs'!$G$15*'01 Inputs'!$G$14+'01 Inputs'!$G$15*'01 Inputs'!$G$40+'01 Inputs'!$G$41)&lt;=500,'01 Inputs'!$G$45,IF(('01 Inputs'!$G$15*'01 Inputs'!$G$14+'01 Inputs'!$G$15*'01 Inputs'!$G$40+'01 Inputs'!$G$41)&lt;=750,'01 Inputs'!$G$46,'01 Inputs'!$G$47))))*'01 Inputs'!$G$48)*(1+'01 Inputs'!$G$52+'01 Inputs'!$G$54)+'01 Inputs'!$G$51+'01 Inputs'!$G$53)/(1-(1+'01 Inputs'!$G$11)*'01 Inputs'!$G$50-'01 Inputs'!$G$54-$B$69)*(1+'01 Inputs'!$G$11)/'01 Inputs'!$G$90)</f>
        <v/>
      </c>
      <c r="F69" s="58">
        <f>E69/'01 Inputs'!$G$15</f>
        <v/>
      </c>
    </row>
    <row r="70">
      <c r="H70" s="2" t="inlineStr">
        <is>
          <t>Floors are for a 30-tablet monthly pack shipped on Large Letter. They rise with pack size only slowly, because postage and fulfilment are per ORDER, not per serving — which is the arithmetic case for a larger pack or a longer cadence.</t>
        </is>
      </c>
    </row>
    <row r="71" ht="60" customHeight="1">
      <c r="B71" s="33" t="inlineStr">
        <is>
          <t>HOW TO USE THE FLOOR. Read across to the price your chosen architecture actually charges. If the charged price is well above the floor for a 65-70% contribution margin, the pricing has headroom and the argument is about willingness to pay, not about cost. If it is below, the architecture does not work and no amount of positioning fixes it. Note what the patented-forms column does: it raises the floor, but by far less than the premium it is supposed to unlock — which is the honest commercial case for 'clinical'. The risk is not that branded forms are unaffordable; it is A-043, that the specific branded form may not be a permitted GB source form at all.</t>
        </is>
      </c>
    </row>
    <row r="73" ht="55" customHeight="1">
      <c r="B73" s="64" t="inlineStr">
        <is>
          <t>WHICH LADDER DOES EACH ARCHITECTURE ASK TO BE JUDGED ON? A1 and A4 sit inside the effervescent band and invite the Berocca/Tesco comparison, which V-Drop loses. A2 and A3 sit at or above Waterdrop and inside the premium daily-vitamin band, which is the comparison a taste-and-ritual proposition can actually win — provided the brand never lets the word 'effervescent' be the headline (A-033: Waterdrop is effervescent and has never once used the word).</t>
        </is>
      </c>
    </row>
  </sheetData>
  <mergeCells count="2">
    <mergeCell ref="B71:H71"/>
    <mergeCell ref="B73:H7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2026-09-22T09:25:34Z</dcterms:created>
  <dcterms:modified xsi:type="dcterms:W3CDTF">2026-09-22T09:25:34Z</dcterms:modified>
</cp:coreProperties>
</file>